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ata_Feed_Daily" sheetId="2" state="visible" r:id="rId2"/>
    <sheet xmlns:r="http://schemas.openxmlformats.org/officeDocument/2006/relationships" name="Daily_Cash_Waterfall" sheetId="3" state="visible" r:id="rId3"/>
    <sheet xmlns:r="http://schemas.openxmlformats.org/officeDocument/2006/relationships" name="Working_Capital_DFO" sheetId="4" state="visible" r:id="rId4"/>
    <sheet xmlns:r="http://schemas.openxmlformats.org/officeDocument/2006/relationships" name="Regulatory_Liquidity_CECL" sheetId="5" state="visible" r:id="rId5"/>
    <sheet xmlns:r="http://schemas.openxmlformats.org/officeDocument/2006/relationships" name="TWCF_13W_Brid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$-en-US]#,##0.00"/>
    <numFmt numFmtId="165" formatCode="0.00&quot; days&quot;"/>
  </numFmts>
  <fonts count="9">
    <font>
      <name val="Calibri"/>
      <family val="2"/>
      <color theme="1"/>
      <sz val="11"/>
      <scheme val="minor"/>
    </font>
    <font>
      <name val="Georgia"/>
      <b val="1"/>
      <color rgb="00FFFFFF"/>
      <sz val="15"/>
    </font>
    <font>
      <name val="Georgia"/>
      <i val="1"/>
      <color rgb="00E2E8F0"/>
      <sz val="10"/>
    </font>
    <font>
      <name val="Georgia"/>
      <b val="1"/>
      <color rgb="001B365D"/>
      <sz val="11"/>
    </font>
    <font>
      <name val="Georgia"/>
      <color rgb="000F172A"/>
      <sz val="9"/>
    </font>
    <font>
      <name val="Georgia"/>
      <b val="1"/>
      <color rgb="000F172A"/>
      <sz val="9"/>
    </font>
    <font>
      <name val="Georgia"/>
      <i val="1"/>
      <color rgb="0064748B"/>
      <sz val="8"/>
    </font>
    <font>
      <name val="Georgia"/>
      <b val="1"/>
      <color rgb="00FFFFFF"/>
      <sz val="9"/>
    </font>
    <font>
      <name val="Georgia"/>
      <b val="1"/>
      <color rgb="00166534"/>
      <sz val="9"/>
    </font>
  </fonts>
  <fills count="6">
    <fill>
      <patternFill/>
    </fill>
    <fill>
      <patternFill patternType="gray125"/>
    </fill>
    <fill>
      <patternFill patternType="solid">
        <fgColor rgb="000C4A6E"/>
        <bgColor rgb="000C4A6E"/>
      </patternFill>
    </fill>
    <fill>
      <patternFill patternType="solid">
        <fgColor rgb="000369A1"/>
        <bgColor rgb="000369A1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top style="thin">
        <color rgb="00CBD5E1"/>
      </top>
      <bottom style="double">
        <color rgb="000C4A6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3" fontId="5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10" fontId="4" fillId="0" borderId="0" pivotButton="0" quotePrefix="0" xfId="0"/>
    <xf numFmtId="10" fontId="5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pivotButton="0" quotePrefix="0" xfId="0"/>
    <xf numFmtId="165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1" pivotButton="0" quotePrefix="0" xfId="0"/>
    <xf numFmtId="164" fontId="5" fillId="5" borderId="1" pivotButton="0" quotePrefix="0" xfId="0"/>
    <xf numFmtId="164" fontId="4" fillId="0" borderId="0" pivotButton="0" quotePrefix="0" xfId="0"/>
    <xf numFmtId="165" fontId="4" fillId="0" borderId="0" pivotButton="0" quotePrefix="0" xfId="0"/>
    <xf numFmtId="164" fontId="4" fillId="4" borderId="0" pivotButton="0" quotePrefix="0" xfId="0"/>
    <xf numFmtId="165" fontId="4" fillId="4" borderId="0" pivotButton="0" quotePrefix="0" xfId="0"/>
    <xf numFmtId="165" fontId="5" fillId="5" borderId="1" pivotButton="0" quotePrefix="0" xfId="0"/>
    <xf numFmtId="10" fontId="4" fillId="4" borderId="0" pivotButton="0" quotePrefix="0" xfId="0"/>
    <xf numFmtId="10" fontId="5" fillId="5" borderId="1" pivotButton="0" quotePrefix="0" xfId="0"/>
    <xf numFmtId="0" fontId="5" fillId="5" borderId="1" applyAlignment="1" pivotButton="0" quotePrefix="0" xfId="0">
      <alignment horizontal="center"/>
    </xf>
    <xf numFmtId="164" fontId="5" fillId="0" borderId="0" pivotButton="0" quotePrefix="0" xfId="0"/>
    <xf numFmtId="0" fontId="8" fillId="0" borderId="0" applyAlignment="1" pivotButton="0" quotePrefix="0" xfId="0">
      <alignment horizontal="center"/>
    </xf>
    <xf numFmtId="164" fontId="5" fillId="4" borderId="0" pivotButton="0" quotePrefix="0" xfId="0"/>
    <xf numFmtId="0" fontId="8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3" customWidth="1" min="3" max="3"/>
    <col width="49" customWidth="1" min="4" max="4"/>
    <col width="24" customWidth="1" min="5" max="5"/>
    <col width="17" customWidth="1" min="6" max="6"/>
    <col width="24" customWidth="1" min="7" max="7"/>
  </cols>
  <sheetData>
    <row r="1" ht="36" customHeight="1">
      <c r="A1" s="1" t="inlineStr">
        <is>
          <t>INSTITUTIONAL PAYMENT SETTLEMENT FLOAT &amp; 13W CASH FLOW ENGINE</t>
        </is>
      </c>
    </row>
    <row r="2" ht="20" customHeight="1">
      <c r="A2" s="2" t="inlineStr">
        <is>
          <t>Dynamic Treasury Financial Model | Core Assumptions, Policy Constants &amp; Scenario Matrix</t>
        </is>
      </c>
    </row>
    <row r="3"/>
    <row r="4">
      <c r="A4" s="3" t="inlineStr">
        <is>
          <t>1. GLOBAL TREASURY POLICY CONSTANTS &amp; FACILITY PARAMETERS</t>
        </is>
      </c>
    </row>
    <row r="5">
      <c r="A5" s="4" t="inlineStr">
        <is>
          <t>Base Daily Gross Payment Volume (GPV)</t>
        </is>
      </c>
      <c r="C5" s="5" t="n">
        <v>600000000</v>
      </c>
      <c r="D5" s="6" t="inlineStr">
        <is>
          <t>Platform daily auth baseline</t>
        </is>
      </c>
    </row>
    <row r="6">
      <c r="A6" s="4" t="inlineStr">
        <is>
          <t>Model Projection Horizon (Days)</t>
        </is>
      </c>
      <c r="C6" s="7" t="n">
        <v>150</v>
      </c>
      <c r="D6" s="6" t="inlineStr">
        <is>
          <t>Active projection calendar horizon</t>
        </is>
      </c>
    </row>
    <row r="7">
      <c r="A7" s="4" t="inlineStr">
        <is>
          <t>Annualized Scale Run-Rate</t>
        </is>
      </c>
      <c r="C7" s="5">
        <f>C5*C6</f>
        <v/>
      </c>
      <c r="D7" s="6" t="inlineStr">
        <is>
          <t>Annualized GPV = Daily GPV * Horizon</t>
        </is>
      </c>
    </row>
    <row r="8">
      <c r="A8" s="4" t="inlineStr">
        <is>
          <t>Actual/360 Money Market Day Count Basis</t>
        </is>
      </c>
      <c r="C8" s="7" t="n">
        <v>360</v>
      </c>
      <c r="D8" s="6" t="inlineStr">
        <is>
          <t>Institutional money market convention</t>
        </is>
      </c>
    </row>
    <row r="9">
      <c r="A9" s="4" t="inlineStr">
        <is>
          <t>Revolving Credit Facility Capacity (Cmax)</t>
        </is>
      </c>
      <c r="C9" s="5" t="n">
        <v>500000000</v>
      </c>
      <c r="D9" s="6" t="inlineStr">
        <is>
          <t>Total bilateral bank facility</t>
        </is>
      </c>
    </row>
    <row r="10">
      <c r="A10" s="4" t="inlineStr">
        <is>
          <t>Minimum Liquidity Covenant Floor (Lmin)</t>
        </is>
      </c>
      <c r="C10" s="5" t="n">
        <v>250000000</v>
      </c>
      <c r="D10" s="6" t="inlineStr">
        <is>
          <t>Credit agreement minimum liquidity floor</t>
        </is>
      </c>
    </row>
    <row r="11">
      <c r="A11" s="4" t="inlineStr">
        <is>
          <t>Target Liquidity Sweep Threshold (Ltarget)</t>
        </is>
      </c>
      <c r="C11" s="5" t="n">
        <v>300000000</v>
      </c>
      <c r="D11" s="6" t="inlineStr">
        <is>
          <t>Automatic debt repayment sweep trigger</t>
        </is>
      </c>
    </row>
    <row r="12">
      <c r="A12" s="4" t="inlineStr">
        <is>
          <t>Covenant Headroom Early Warning Alert Trigger</t>
        </is>
      </c>
      <c r="C12" s="5" t="n">
        <v>50000000</v>
      </c>
      <c r="D12" s="6" t="inlineStr">
        <is>
          <t>Headroom alert threshold below covenant floor</t>
        </is>
      </c>
    </row>
    <row r="13">
      <c r="A13" s="4" t="inlineStr">
        <is>
          <t>Initial Corporate Opening Cash Balance</t>
        </is>
      </c>
      <c r="C13" s="5" t="n">
        <v>300000000</v>
      </c>
      <c r="D13" s="6" t="inlineStr">
        <is>
          <t>Day 1 starting operational cash</t>
        </is>
      </c>
    </row>
    <row r="14">
      <c r="A14" s="4" t="inlineStr">
        <is>
          <t>Initial Safeguarded Client Pool Balance</t>
        </is>
      </c>
      <c r="C14" s="5" t="n">
        <v>0</v>
      </c>
      <c r="D14" s="6" t="inlineStr">
        <is>
          <t>Day 1 starting client pool (zero commingling)</t>
        </is>
      </c>
    </row>
    <row r="15">
      <c r="A15" s="4" t="inlineStr">
        <is>
          <t>Initial Active Revolver Debt Balance</t>
        </is>
      </c>
      <c r="C15" s="5" t="n">
        <v>0</v>
      </c>
      <c r="D15" s="6" t="inlineStr">
        <is>
          <t>Day 1 starting facility borrowing</t>
        </is>
      </c>
    </row>
    <row r="16">
      <c r="A16" s="4" t="inlineStr">
        <is>
          <t>Active Macro Scenario Selector</t>
        </is>
      </c>
      <c r="C16" s="8" t="inlineStr">
        <is>
          <t>BASELINE</t>
        </is>
      </c>
      <c r="D16" s="6" t="inlineStr">
        <is>
          <t>Active macroeconomic environment</t>
        </is>
      </c>
    </row>
    <row r="17">
      <c r="A17" s="4" t="inlineStr">
        <is>
          <t>Benchmark Base SOFR Rate</t>
        </is>
      </c>
      <c r="C17" s="9" t="n">
        <v>0.0425</v>
      </c>
      <c r="D17" s="6" t="inlineStr">
        <is>
          <t>Secured Overnight Financing Rate</t>
        </is>
      </c>
    </row>
    <row r="18">
      <c r="A18" s="4" t="inlineStr">
        <is>
          <t>Credit Facility Margin Spread</t>
        </is>
      </c>
      <c r="C18" s="9" t="n">
        <v>0.02</v>
      </c>
      <c r="D18" s="6" t="inlineStr">
        <is>
          <t>Bank credit facility spread</t>
        </is>
      </c>
    </row>
    <row r="19">
      <c r="A19" s="4" t="inlineStr">
        <is>
          <t>All-in Borrowing Rate (SOFR + Spread)</t>
        </is>
      </c>
      <c r="C19" s="9">
        <f>C17+C18</f>
        <v/>
      </c>
      <c r="D19" s="6" t="inlineStr">
        <is>
          <t>Effective annual borrowing rate</t>
        </is>
      </c>
    </row>
    <row r="20">
      <c r="A20" s="4" t="inlineStr">
        <is>
          <t>CECL Annual Probability of Default (PD)</t>
        </is>
      </c>
      <c r="C20" s="9" t="n">
        <v>0.002</v>
      </c>
      <c r="D20" s="6" t="inlineStr">
        <is>
          <t>Expected loss probability proxy</t>
        </is>
      </c>
    </row>
    <row r="21">
      <c r="A21" s="4" t="inlineStr">
        <is>
          <t>CECL Loss Given Default (LGD)</t>
        </is>
      </c>
      <c r="C21" s="9" t="n">
        <v>0.5</v>
      </c>
      <c r="D21" s="6" t="inlineStr">
        <is>
          <t>Expected severity on default</t>
        </is>
      </c>
    </row>
    <row r="22">
      <c r="A22" s="4" t="inlineStr">
        <is>
          <t>Basel III Stressed 30-Day Outflow Run-off Overlay</t>
        </is>
      </c>
      <c r="C22" s="9" t="n">
        <v>0.3</v>
      </c>
      <c r="D22" s="6" t="inlineStr">
        <is>
          <t>Stressed run-off overlay</t>
        </is>
      </c>
    </row>
    <row r="23">
      <c r="A23" s="4" t="inlineStr">
        <is>
          <t>Basel III LCR Warning Band Threshold</t>
        </is>
      </c>
      <c r="C23" s="9" t="n">
        <v>1.05</v>
      </c>
      <c r="D23" s="6" t="inlineStr">
        <is>
          <t>LCR early warning buffer (105%)</t>
        </is>
      </c>
    </row>
    <row r="24">
      <c r="A24" s="4" t="inlineStr">
        <is>
          <t>Basel III LCR Minimum Regulatory Floor</t>
        </is>
      </c>
      <c r="C24" s="9" t="n">
        <v>1</v>
      </c>
      <c r="D24" s="6" t="inlineStr">
        <is>
          <t>Statutory minimum compliant floor (100%)</t>
        </is>
      </c>
    </row>
    <row r="25"/>
    <row r="26">
      <c r="A26" s="3" t="inlineStr">
        <is>
          <t>2. PAYMENT NETWORK CLEARING &amp; TAKE-RATE STRUCTURE</t>
        </is>
      </c>
    </row>
    <row r="27">
      <c r="A27" s="10" t="inlineStr">
        <is>
          <t>Payment Rail</t>
        </is>
      </c>
      <c r="B27" s="11" t="inlineStr">
        <is>
          <t>Share of GPV</t>
        </is>
      </c>
      <c r="C27" s="11" t="inlineStr">
        <is>
          <t>Processor Take Rate</t>
        </is>
      </c>
      <c r="D27" s="11" t="inlineStr">
        <is>
          <t>Interchange / Scheme Cost</t>
        </is>
      </c>
      <c r="E27" s="11" t="inlineStr">
        <is>
          <t>Net Processor Spread</t>
        </is>
      </c>
      <c r="F27" s="11" t="inlineStr">
        <is>
          <t>Clearing Lag</t>
        </is>
      </c>
    </row>
    <row r="28">
      <c r="A28" s="4" t="inlineStr">
        <is>
          <t>CARD_VISA</t>
        </is>
      </c>
      <c r="B28" s="12" t="n">
        <v>0.44</v>
      </c>
      <c r="C28" s="12" t="n">
        <v>0.0275</v>
      </c>
      <c r="D28" s="12" t="n">
        <v>0.018</v>
      </c>
      <c r="E28" s="13">
        <f>C28-D28</f>
        <v/>
      </c>
      <c r="F28" s="14" t="inlineStr">
        <is>
          <t>T+2 (2 days)</t>
        </is>
      </c>
    </row>
    <row r="29">
      <c r="A29" s="4" t="inlineStr">
        <is>
          <t>CARD_MC</t>
        </is>
      </c>
      <c r="B29" s="12" t="n">
        <v>0.3</v>
      </c>
      <c r="C29" s="12" t="n">
        <v>0.0275</v>
      </c>
      <c r="D29" s="12" t="n">
        <v>0.0185</v>
      </c>
      <c r="E29" s="13">
        <f>C29-D29</f>
        <v/>
      </c>
      <c r="F29" s="14" t="inlineStr">
        <is>
          <t>T+2 (2 days)</t>
        </is>
      </c>
    </row>
    <row r="30">
      <c r="A30" s="4" t="inlineStr">
        <is>
          <t>CARD_AMEX</t>
        </is>
      </c>
      <c r="B30" s="12" t="n">
        <v>0.15</v>
      </c>
      <c r="C30" s="12" t="n">
        <v>0.0315</v>
      </c>
      <c r="D30" s="12" t="n">
        <v>0.022</v>
      </c>
      <c r="E30" s="13">
        <f>C30-D30</f>
        <v/>
      </c>
      <c r="F30" s="14" t="inlineStr">
        <is>
          <t>T+3 (3 days)</t>
        </is>
      </c>
    </row>
    <row r="31">
      <c r="A31" s="4" t="inlineStr">
        <is>
          <t>ACH_STANDARD</t>
        </is>
      </c>
      <c r="B31" s="12" t="n">
        <v>0.07000000000000001</v>
      </c>
      <c r="C31" s="12" t="n">
        <v>0.008</v>
      </c>
      <c r="D31" s="12" t="n">
        <v>0.002</v>
      </c>
      <c r="E31" s="13">
        <f>C31-D31</f>
        <v/>
      </c>
      <c r="F31" s="14" t="inlineStr">
        <is>
          <t>T+3 (3 days)</t>
        </is>
      </c>
    </row>
    <row r="32">
      <c r="A32" s="4" t="inlineStr">
        <is>
          <t>ACH_SAME_DAY</t>
        </is>
      </c>
      <c r="B32" s="12" t="n">
        <v>0.03</v>
      </c>
      <c r="C32" s="12" t="n">
        <v>0.008</v>
      </c>
      <c r="D32" s="12" t="n">
        <v>0.002</v>
      </c>
      <c r="E32" s="13">
        <f>C32-D32</f>
        <v/>
      </c>
      <c r="F32" s="14" t="inlineStr">
        <is>
          <t>T+1 (1 days)</t>
        </is>
      </c>
    </row>
    <row r="33">
      <c r="A33" s="4" t="inlineStr">
        <is>
          <t>RTP_FEDNOW</t>
        </is>
      </c>
      <c r="B33" s="12" t="n">
        <v>0.01</v>
      </c>
      <c r="C33" s="12" t="n">
        <v>0.005</v>
      </c>
      <c r="D33" s="12" t="n">
        <v>0.001</v>
      </c>
      <c r="E33" s="13">
        <f>C33-D33</f>
        <v/>
      </c>
      <c r="F33" s="14" t="inlineStr">
        <is>
          <t>T+0 (0 days)</t>
        </is>
      </c>
    </row>
    <row r="34"/>
    <row r="35">
      <c r="A35" s="3" t="inlineStr">
        <is>
          <t>3. MACROECONOMIC STRESS SCENARIO MATRIX</t>
        </is>
      </c>
    </row>
    <row r="36">
      <c r="A36" s="10" t="inlineStr">
        <is>
          <t>Scenario Name</t>
        </is>
      </c>
      <c r="B36" s="11" t="inlineStr">
        <is>
          <t>Benchmark SOFR</t>
        </is>
      </c>
      <c r="C36" s="11" t="inlineStr">
        <is>
          <t>Credit Spread</t>
        </is>
      </c>
      <c r="D36" s="11" t="inlineStr">
        <is>
          <t>All-in Borrowing Rate</t>
        </is>
      </c>
      <c r="E36" s="11" t="inlineStr">
        <is>
          <t>CECL PD Rate</t>
        </is>
      </c>
      <c r="F36" s="11" t="inlineStr">
        <is>
          <t>CECL LGD Rate</t>
        </is>
      </c>
      <c r="G36" s="11" t="inlineStr">
        <is>
          <t>Timing Lag Shift</t>
        </is>
      </c>
    </row>
    <row r="37">
      <c r="A37" s="15" t="inlineStr">
        <is>
          <t>BASELINE</t>
        </is>
      </c>
      <c r="B37" s="12" t="n">
        <v>0.0425</v>
      </c>
      <c r="C37" s="12" t="n">
        <v>0.02</v>
      </c>
      <c r="D37" s="13">
        <f>B37+C37</f>
        <v/>
      </c>
      <c r="E37" s="12" t="n">
        <v>0.002</v>
      </c>
      <c r="F37" s="12" t="n">
        <v>0.5</v>
      </c>
      <c r="G37" s="14" t="inlineStr">
        <is>
          <t>Standard T+1..T+3</t>
        </is>
      </c>
    </row>
    <row r="38">
      <c r="A38" s="15" t="inlineStr">
        <is>
          <t>ADVERSE</t>
        </is>
      </c>
      <c r="B38" s="12" t="n">
        <v>0.0575</v>
      </c>
      <c r="C38" s="12" t="n">
        <v>0.0275</v>
      </c>
      <c r="D38" s="13">
        <f>B38+C38</f>
        <v/>
      </c>
      <c r="E38" s="12" t="n">
        <v>0.011</v>
      </c>
      <c r="F38" s="12" t="n">
        <v>0.7</v>
      </c>
      <c r="G38" s="14" t="inlineStr">
        <is>
          <t>+24h Holiday Lag</t>
        </is>
      </c>
    </row>
    <row r="39">
      <c r="A39" s="15" t="inlineStr">
        <is>
          <t>SEVERELY_ADVERSE</t>
        </is>
      </c>
      <c r="B39" s="12" t="n">
        <v>0.07000000000000001</v>
      </c>
      <c r="C39" s="12" t="n">
        <v>0.0375</v>
      </c>
      <c r="D39" s="13">
        <f>B39+C39</f>
        <v/>
      </c>
      <c r="E39" s="12" t="n">
        <v>0.035</v>
      </c>
      <c r="F39" s="12" t="n">
        <v>0.85</v>
      </c>
      <c r="G39" s="14" t="inlineStr">
        <is>
          <t>+48h Systemic Freeze</t>
        </is>
      </c>
    </row>
    <row r="40"/>
    <row r="41">
      <c r="A41" s="3" t="inlineStr">
        <is>
          <t>4. MODEL SUMMARY PERFORMANCE BENCHMARKS (DYNAMIC FORMULAS)</t>
        </is>
      </c>
    </row>
    <row r="42">
      <c r="A42" s="4" t="inlineStr">
        <is>
          <t>Final Corporate Closing Cash</t>
        </is>
      </c>
      <c r="C42" s="5">
        <f>'Daily_Cash_Waterfall'!O151</f>
        <v/>
      </c>
      <c r="D42" s="6" t="inlineStr">
        <is>
          <t>Ending unrestricted operating cash</t>
        </is>
      </c>
    </row>
    <row r="43">
      <c r="A43" s="4" t="inlineStr">
        <is>
          <t>Peak Revolver Facility Utilization</t>
        </is>
      </c>
      <c r="C43" s="5">
        <f>MAX('Daily_Cash_Waterfall'!M2:M151)</f>
        <v/>
      </c>
      <c r="D43" s="6" t="inlineStr">
        <is>
          <t>Maximum drawn credit balance</t>
        </is>
      </c>
    </row>
    <row r="44">
      <c r="A44" s="4" t="inlineStr">
        <is>
          <t>Total Period Interest Expense Drag</t>
        </is>
      </c>
      <c r="C44" s="5">
        <f>SUM('Daily_Cash_Waterfall'!N2:N151)</f>
        <v/>
      </c>
      <c r="D44" s="6" t="inlineStr">
        <is>
          <t>Total Actual/360 interest accrued</t>
        </is>
      </c>
    </row>
    <row r="45">
      <c r="A45" s="4" t="inlineStr">
        <is>
          <t>Final Total Available Liquidity</t>
        </is>
      </c>
      <c r="C45" s="5">
        <f>'Daily_Cash_Waterfall'!P151</f>
        <v/>
      </c>
      <c r="D45" s="6" t="inlineStr">
        <is>
          <t>Cash + Undrawn Revolver Headroom</t>
        </is>
      </c>
    </row>
    <row r="46">
      <c r="A46" s="4" t="inlineStr">
        <is>
          <t>Final Covenant Headroom vs $250M</t>
        </is>
      </c>
      <c r="C46" s="5">
        <f>'Daily_Cash_Waterfall'!Q151</f>
        <v/>
      </c>
      <c r="D46" s="6" t="inlineStr">
        <is>
          <t>Headroom above $250M covenant floor</t>
        </is>
      </c>
    </row>
    <row r="47">
      <c r="A47" s="4" t="inlineStr">
        <is>
          <t>Average Days Float Outstanding (DFO)</t>
        </is>
      </c>
      <c r="C47" s="16">
        <f>AVERAGE('Working_Capital_DFO'!E2:E151)</f>
        <v/>
      </c>
      <c r="D47" s="6" t="inlineStr">
        <is>
          <t>Trailing average DFO across horizon</t>
        </is>
      </c>
    </row>
    <row r="48">
      <c r="A48" s="4" t="inlineStr">
        <is>
          <t>Final CECL Cumulative Allowance</t>
        </is>
      </c>
      <c r="C48" s="5">
        <f>'Regulatory_Liquidity_CECL'!H151</f>
        <v/>
      </c>
      <c r="D48" s="6" t="inlineStr">
        <is>
          <t>Total expected loss contra-asset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6" customWidth="1" min="6" max="6"/>
    <col width="17" customWidth="1" min="7" max="7"/>
    <col width="17" customWidth="1" min="8" max="8"/>
    <col width="17" customWidth="1" min="9" max="9"/>
  </cols>
  <sheetData>
    <row r="1" ht="25" customHeight="1">
      <c r="A1" s="11" t="inlineStr">
        <is>
          <t>Ledger Date</t>
        </is>
      </c>
      <c r="B1" s="11" t="inlineStr">
        <is>
          <t>Authorized GPV ($)</t>
        </is>
      </c>
      <c r="C1" s="11" t="inlineStr">
        <is>
          <t>Inbound Settlements Gross ($)</t>
        </is>
      </c>
      <c r="D1" s="11" t="inlineStr">
        <is>
          <t>Scheme &amp; Interchange Costs ($)</t>
        </is>
      </c>
      <c r="E1" s="11" t="inlineStr">
        <is>
          <t>Outbound Merchant Payouts Gross ($)</t>
        </is>
      </c>
      <c r="F1" s="11" t="inlineStr">
        <is>
          <t>Merchant Reserves Withheld ($)</t>
        </is>
      </c>
      <c r="G1" s="11" t="inlineStr">
        <is>
          <t>Net Processor Revenue Swept ($)</t>
        </is>
      </c>
      <c r="H1" s="11" t="inlineStr">
        <is>
          <t>Settlements Receivable Asset ($)</t>
        </is>
      </c>
      <c r="I1" s="11" t="inlineStr">
        <is>
          <t>Customers Payable Liability ($)</t>
        </is>
      </c>
    </row>
    <row r="2">
      <c r="A2" s="17" t="inlineStr">
        <is>
          <t>2026-01-01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605484907.4400001</v>
      </c>
      <c r="I2" s="18" t="n">
        <v>571426381.38</v>
      </c>
    </row>
    <row r="3">
      <c r="A3" s="19" t="inlineStr">
        <is>
          <t>2026-01-02</t>
        </is>
      </c>
      <c r="B3" s="20" t="n">
        <v>655544728.9299999</v>
      </c>
      <c r="C3" s="20" t="n">
        <v>31776040.08</v>
      </c>
      <c r="D3" s="20" t="n">
        <v>49940.5872</v>
      </c>
      <c r="E3" s="20" t="n">
        <v>655544728.9299999</v>
      </c>
      <c r="F3" s="20" t="n">
        <v>36874391.02</v>
      </c>
      <c r="G3" s="20" t="n">
        <v>5863847.5997</v>
      </c>
      <c r="H3" s="20" t="n">
        <v>1329373239.27</v>
      </c>
      <c r="I3" s="20" t="n">
        <v>665914294.4400001</v>
      </c>
    </row>
    <row r="4">
      <c r="A4" s="17" t="inlineStr">
        <is>
          <t>2026-01-03</t>
        </is>
      </c>
      <c r="B4" s="18" t="n">
        <v>0</v>
      </c>
      <c r="C4" s="18" t="n">
        <v>0</v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2126933797.25</v>
      </c>
      <c r="I4" s="18" t="n">
        <v>1418612071.01</v>
      </c>
    </row>
    <row r="5">
      <c r="A5" s="19" t="inlineStr">
        <is>
          <t>2026-01-04</t>
        </is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2928943011.61</v>
      </c>
      <c r="I5" s="20" t="n">
        <v>2175508267.03</v>
      </c>
    </row>
    <row r="6">
      <c r="A6" s="17" t="inlineStr">
        <is>
          <t>2026-01-05</t>
        </is>
      </c>
      <c r="B6" s="18" t="n">
        <v>2226131706.84</v>
      </c>
      <c r="C6" s="18" t="n">
        <v>1989199656.73</v>
      </c>
      <c r="D6" s="18" t="n">
        <v>33923133.5922</v>
      </c>
      <c r="E6" s="18" t="n">
        <v>2226131706.84</v>
      </c>
      <c r="F6" s="18" t="n">
        <v>125219908.59</v>
      </c>
      <c r="G6" s="18" t="n">
        <v>19912748.1184</v>
      </c>
      <c r="H6" s="18" t="n">
        <v>1504624721.48</v>
      </c>
      <c r="I6" s="18" t="n">
        <v>607703258.46</v>
      </c>
    </row>
    <row r="7">
      <c r="A7" s="19" t="inlineStr">
        <is>
          <t>2026-01-06</t>
        </is>
      </c>
      <c r="B7" s="20" t="n">
        <v>647817116.61</v>
      </c>
      <c r="C7" s="20" t="n">
        <v>791662190.16</v>
      </c>
      <c r="D7" s="20" t="n">
        <v>13586330.9256</v>
      </c>
      <c r="E7" s="20" t="n">
        <v>647817116.61</v>
      </c>
      <c r="F7" s="20" t="n">
        <v>36439712.84</v>
      </c>
      <c r="G7" s="20" t="n">
        <v>5794724.1093</v>
      </c>
      <c r="H7" s="20" t="n">
        <v>1289523300.2</v>
      </c>
      <c r="I7" s="20" t="n">
        <v>540455080.3099999</v>
      </c>
    </row>
    <row r="8">
      <c r="A8" s="17" t="inlineStr">
        <is>
          <t>2026-01-07</t>
        </is>
      </c>
      <c r="B8" s="18" t="n">
        <v>581247754.25</v>
      </c>
      <c r="C8" s="18" t="n">
        <v>617774072.7</v>
      </c>
      <c r="D8" s="18" t="n">
        <v>10408480.3632</v>
      </c>
      <c r="E8" s="18" t="n">
        <v>581247754.25</v>
      </c>
      <c r="F8" s="18" t="n">
        <v>32695186.18</v>
      </c>
      <c r="G8" s="18" t="n">
        <v>5199261.1633</v>
      </c>
      <c r="H8" s="18" t="n">
        <v>1274050354.76</v>
      </c>
      <c r="I8" s="18" t="n">
        <v>560324201.14</v>
      </c>
    </row>
    <row r="9">
      <c r="A9" s="19" t="inlineStr">
        <is>
          <t>2026-01-08</t>
        </is>
      </c>
      <c r="B9" s="20" t="n">
        <v>591056509.83</v>
      </c>
      <c r="C9" s="20" t="n">
        <v>574940979.8</v>
      </c>
      <c r="D9" s="20" t="n">
        <v>9751546.602</v>
      </c>
      <c r="E9" s="20" t="n">
        <v>591056509.83</v>
      </c>
      <c r="F9" s="20" t="n">
        <v>33246928.66</v>
      </c>
      <c r="G9" s="20" t="n">
        <v>5287000.4808</v>
      </c>
      <c r="H9" s="20" t="n">
        <v>1293417008.3</v>
      </c>
      <c r="I9" s="20" t="n">
        <v>563392448.95</v>
      </c>
    </row>
    <row r="10">
      <c r="A10" s="17" t="inlineStr">
        <is>
          <t>2026-01-09</t>
        </is>
      </c>
      <c r="B10" s="18" t="n">
        <v>658738537.84</v>
      </c>
      <c r="C10" s="18" t="n">
        <v>598171500.84</v>
      </c>
      <c r="D10" s="18" t="n">
        <v>10139819.7564</v>
      </c>
      <c r="E10" s="18" t="n">
        <v>658738537.84</v>
      </c>
      <c r="F10" s="18" t="n">
        <v>37054042.73</v>
      </c>
      <c r="G10" s="18" t="n">
        <v>5892416.2201</v>
      </c>
      <c r="H10" s="18" t="n">
        <v>1474852360.37</v>
      </c>
      <c r="I10" s="18" t="n">
        <v>677461921.28</v>
      </c>
    </row>
    <row r="11">
      <c r="A11" s="19" t="inlineStr">
        <is>
          <t>2026-01-10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2234891132.46</v>
      </c>
      <c r="I11" s="20" t="n">
        <v>1394748512.43</v>
      </c>
    </row>
    <row r="12">
      <c r="A12" s="17" t="inlineStr">
        <is>
          <t>2026-01-11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3035469045.07</v>
      </c>
      <c r="I12" s="18" t="n">
        <v>2150293917.43</v>
      </c>
    </row>
    <row r="13">
      <c r="A13" s="19" t="inlineStr">
        <is>
          <t>2026-01-12</t>
        </is>
      </c>
      <c r="B13" s="20" t="n">
        <v>2216264578.49</v>
      </c>
      <c r="C13" s="20" t="n">
        <v>2105845721.58</v>
      </c>
      <c r="D13" s="20" t="n">
        <v>35704691.6853</v>
      </c>
      <c r="E13" s="20" t="n">
        <v>2216264578.49</v>
      </c>
      <c r="F13" s="20" t="n">
        <v>124664882.57</v>
      </c>
      <c r="G13" s="20" t="n">
        <v>19824486.6534</v>
      </c>
      <c r="H13" s="20" t="n">
        <v>1543623578.33</v>
      </c>
      <c r="I13" s="20" t="n">
        <v>638156961.98</v>
      </c>
    </row>
    <row r="14">
      <c r="A14" s="17" t="inlineStr">
        <is>
          <t>2026-01-13</t>
        </is>
      </c>
      <c r="B14" s="18" t="n">
        <v>671922240</v>
      </c>
      <c r="C14" s="18" t="n">
        <v>784068078.48</v>
      </c>
      <c r="D14" s="18" t="n">
        <v>13441169.7612</v>
      </c>
      <c r="E14" s="18" t="n">
        <v>671922240</v>
      </c>
      <c r="F14" s="18" t="n">
        <v>37795626.02</v>
      </c>
      <c r="G14" s="18" t="n">
        <v>6010344.4376</v>
      </c>
      <c r="H14" s="18" t="n">
        <v>1360744052.41</v>
      </c>
      <c r="I14" s="18" t="n">
        <v>571402044.48</v>
      </c>
    </row>
    <row r="15">
      <c r="A15" s="19" t="inlineStr">
        <is>
          <t>2026-01-14</t>
        </is>
      </c>
      <c r="B15" s="20" t="n">
        <v>611826383.05</v>
      </c>
      <c r="C15" s="20" t="n">
        <v>654725889.37</v>
      </c>
      <c r="D15" s="20" t="n">
        <v>11066845.6681</v>
      </c>
      <c r="E15" s="20" t="n">
        <v>611826383.05</v>
      </c>
      <c r="F15" s="20" t="n">
        <v>34415234.06</v>
      </c>
      <c r="G15" s="20" t="n">
        <v>5472786.9969</v>
      </c>
      <c r="H15" s="20" t="n">
        <v>1326308504.77</v>
      </c>
      <c r="I15" s="20" t="n">
        <v>579389905.49</v>
      </c>
    </row>
    <row r="16">
      <c r="A16" s="17" t="inlineStr">
        <is>
          <t>2026-01-15</t>
        </is>
      </c>
      <c r="B16" s="18" t="n">
        <v>609964687.48</v>
      </c>
      <c r="C16" s="18" t="n">
        <v>604652446.8099999</v>
      </c>
      <c r="D16" s="18" t="n">
        <v>10253472.252</v>
      </c>
      <c r="E16" s="18" t="n">
        <v>609964687.48</v>
      </c>
      <c r="F16" s="18" t="n">
        <v>34310513.67</v>
      </c>
      <c r="G16" s="18" t="n">
        <v>5456134.13</v>
      </c>
      <c r="H16" s="18" t="n">
        <v>1330071226.12</v>
      </c>
      <c r="I16" s="18" t="n">
        <v>577927546.64</v>
      </c>
    </row>
    <row r="17">
      <c r="A17" s="19" t="inlineStr">
        <is>
          <t>2026-01-16</t>
        </is>
      </c>
      <c r="B17" s="20" t="n">
        <v>662866022.09</v>
      </c>
      <c r="C17" s="20" t="n">
        <v>617127715.08</v>
      </c>
      <c r="D17" s="20" t="n">
        <v>10467503.3592</v>
      </c>
      <c r="E17" s="20" t="n">
        <v>662866022.09</v>
      </c>
      <c r="F17" s="20" t="n">
        <v>37286213.75</v>
      </c>
      <c r="G17" s="20" t="n">
        <v>5929336.567</v>
      </c>
      <c r="H17" s="20" t="n">
        <v>1472836067.41</v>
      </c>
      <c r="I17" s="20" t="n">
        <v>669496338.35</v>
      </c>
    </row>
    <row r="18">
      <c r="A18" s="17" t="inlineStr">
        <is>
          <t>2026-01-17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2261464835.76</v>
      </c>
      <c r="I18" s="18" t="n">
        <v>1413764738.5</v>
      </c>
    </row>
    <row r="19">
      <c r="A19" s="19" t="inlineStr">
        <is>
          <t>2026-01-18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3019026982.9</v>
      </c>
      <c r="I19" s="20" t="n">
        <v>2128714014.89</v>
      </c>
    </row>
    <row r="20">
      <c r="A20" s="17" t="inlineStr">
        <is>
          <t>2026-01-19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3634839088.32</v>
      </c>
      <c r="I20" s="18" t="n">
        <v>2709886689.34</v>
      </c>
    </row>
    <row r="21">
      <c r="A21" s="19" t="inlineStr">
        <is>
          <t>2026-01-20</t>
        </is>
      </c>
      <c r="B21" s="20" t="n">
        <v>2865832857.27</v>
      </c>
      <c r="C21" s="20" t="n">
        <v>2882986808.04</v>
      </c>
      <c r="D21" s="20" t="n">
        <v>49014881.772</v>
      </c>
      <c r="E21" s="20" t="n">
        <v>2865832857.27</v>
      </c>
      <c r="F21" s="20" t="n">
        <v>161203098.22</v>
      </c>
      <c r="G21" s="20" t="n">
        <v>25634874.9115</v>
      </c>
      <c r="H21" s="20" t="n">
        <v>1350953613.88</v>
      </c>
      <c r="I21" s="20" t="n">
        <v>570658813.86</v>
      </c>
    </row>
    <row r="22">
      <c r="A22" s="17" t="inlineStr">
        <is>
          <t>2026-01-21</t>
        </is>
      </c>
      <c r="B22" s="18" t="n">
        <v>603861972.16</v>
      </c>
      <c r="C22" s="18" t="n">
        <v>646304395.1799999</v>
      </c>
      <c r="D22" s="18" t="n">
        <v>10942915.6524</v>
      </c>
      <c r="E22" s="18" t="n">
        <v>603861972.16</v>
      </c>
      <c r="F22" s="18" t="n">
        <v>33967235.96</v>
      </c>
      <c r="G22" s="18" t="n">
        <v>5401545.342</v>
      </c>
      <c r="H22" s="18" t="n">
        <v>1301321696.16</v>
      </c>
      <c r="I22" s="18" t="n">
        <v>563873728.24</v>
      </c>
    </row>
    <row r="23">
      <c r="A23" s="19" t="inlineStr">
        <is>
          <t>2026-01-22</t>
        </is>
      </c>
      <c r="B23" s="20" t="n">
        <v>594505693.08</v>
      </c>
      <c r="C23" s="20" t="n">
        <v>602591257.08</v>
      </c>
      <c r="D23" s="20" t="n">
        <v>10229966.3892</v>
      </c>
      <c r="E23" s="20" t="n">
        <v>594505693.08</v>
      </c>
      <c r="F23" s="20" t="n">
        <v>33440945.26</v>
      </c>
      <c r="G23" s="20" t="n">
        <v>5317853.4256</v>
      </c>
      <c r="H23" s="20" t="n">
        <v>1286473707.28</v>
      </c>
      <c r="I23" s="20" t="n">
        <v>557491689.75</v>
      </c>
    </row>
    <row r="24">
      <c r="A24" s="17" t="inlineStr">
        <is>
          <t>2026-01-23</t>
        </is>
      </c>
      <c r="B24" s="18" t="n">
        <v>664341070.99</v>
      </c>
      <c r="C24" s="18" t="n">
        <v>599058299.52</v>
      </c>
      <c r="D24" s="18" t="n">
        <v>10141437.5304</v>
      </c>
      <c r="E24" s="18" t="n">
        <v>664341070.99</v>
      </c>
      <c r="F24" s="18" t="n">
        <v>37369185.27</v>
      </c>
      <c r="G24" s="18" t="n">
        <v>5942530.8803</v>
      </c>
      <c r="H24" s="18" t="n">
        <v>1496022875.08</v>
      </c>
      <c r="I24" s="18" t="n">
        <v>693643101.29</v>
      </c>
    </row>
    <row r="25">
      <c r="A25" s="19" t="inlineStr">
        <is>
          <t>2026-01-24</t>
        </is>
      </c>
      <c r="B25" s="20" t="n">
        <v>0</v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2272406885.2</v>
      </c>
      <c r="I25" s="20" t="n">
        <v>1426355510.84</v>
      </c>
    </row>
    <row r="26">
      <c r="A26" s="17" t="inlineStr">
        <is>
          <t>2026-01-25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3042384014.16</v>
      </c>
      <c r="I26" s="18" t="n">
        <v>2153021426.32</v>
      </c>
    </row>
    <row r="27">
      <c r="A27" s="19" t="inlineStr">
        <is>
          <t>2026-01-26</t>
        </is>
      </c>
      <c r="B27" s="20" t="n">
        <v>2222575362.42</v>
      </c>
      <c r="C27" s="20" t="n">
        <v>2138338104.04</v>
      </c>
      <c r="D27" s="20" t="n">
        <v>36285435.2176</v>
      </c>
      <c r="E27" s="20" t="n">
        <v>2222575362.42</v>
      </c>
      <c r="F27" s="20" t="n">
        <v>125019864.17</v>
      </c>
      <c r="G27" s="20" t="n">
        <v>19880936.6164</v>
      </c>
      <c r="H27" s="20" t="n">
        <v>1497707506.21</v>
      </c>
      <c r="I27" s="20" t="n">
        <v>615734059.3099999</v>
      </c>
    </row>
    <row r="28">
      <c r="A28" s="17" t="inlineStr">
        <is>
          <t>2026-01-27</t>
        </is>
      </c>
      <c r="B28" s="18" t="n">
        <v>657740096.78</v>
      </c>
      <c r="C28" s="18" t="n">
        <v>764493221.36</v>
      </c>
      <c r="D28" s="18" t="n">
        <v>13084068.436</v>
      </c>
      <c r="E28" s="18" t="n">
        <v>657740096.78</v>
      </c>
      <c r="F28" s="18" t="n">
        <v>36997880.46</v>
      </c>
      <c r="G28" s="18" t="n">
        <v>5883485.1672</v>
      </c>
      <c r="H28" s="18" t="n">
        <v>1342795850.19</v>
      </c>
      <c r="I28" s="18" t="n">
        <v>570284445.28</v>
      </c>
    </row>
    <row r="29">
      <c r="A29" s="19" t="inlineStr">
        <is>
          <t>2026-01-28</t>
        </is>
      </c>
      <c r="B29" s="20" t="n">
        <v>603273718.21</v>
      </c>
      <c r="C29" s="20" t="n">
        <v>633057776.21</v>
      </c>
      <c r="D29" s="20" t="n">
        <v>10687983.6958</v>
      </c>
      <c r="E29" s="20" t="n">
        <v>603273718.21</v>
      </c>
      <c r="F29" s="20" t="n">
        <v>33934146.66</v>
      </c>
      <c r="G29" s="20" t="n">
        <v>5396283.4093</v>
      </c>
      <c r="H29" s="20" t="n">
        <v>1316316067.14</v>
      </c>
      <c r="I29" s="20" t="n">
        <v>573402854.8099999</v>
      </c>
    </row>
    <row r="30">
      <c r="A30" s="17" t="inlineStr">
        <is>
          <t>2026-01-29</t>
        </is>
      </c>
      <c r="B30" s="18" t="n">
        <v>607862915.17</v>
      </c>
      <c r="C30" s="18" t="n">
        <v>605967541.08</v>
      </c>
      <c r="D30" s="18" t="n">
        <v>10295728.5468</v>
      </c>
      <c r="E30" s="18" t="n">
        <v>607862915.17</v>
      </c>
      <c r="F30" s="18" t="n">
        <v>34192288.96</v>
      </c>
      <c r="G30" s="18" t="n">
        <v>5437333.7773</v>
      </c>
      <c r="H30" s="18" t="n">
        <v>1317777713.07</v>
      </c>
      <c r="I30" s="18" t="n">
        <v>572993523.86</v>
      </c>
    </row>
    <row r="31">
      <c r="A31" s="19" t="inlineStr">
        <is>
          <t>2026-01-30</t>
        </is>
      </c>
      <c r="B31" s="20" t="n">
        <v>668029463.87</v>
      </c>
      <c r="C31" s="20" t="n">
        <v>609099347.14</v>
      </c>
      <c r="D31" s="20" t="n">
        <v>10311912.7152</v>
      </c>
      <c r="E31" s="20" t="n">
        <v>668029463.87</v>
      </c>
      <c r="F31" s="20" t="n">
        <v>37576657.32</v>
      </c>
      <c r="G31" s="20" t="n">
        <v>5975523.5543</v>
      </c>
      <c r="H31" s="20" t="n">
        <v>1498759577.4</v>
      </c>
      <c r="I31" s="20" t="n">
        <v>688179860.65</v>
      </c>
    </row>
    <row r="32">
      <c r="A32" s="17" t="inlineStr">
        <is>
          <t>2026-01-31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2328874131.26</v>
      </c>
      <c r="I32" s="18" t="n">
        <v>1471600470.84</v>
      </c>
    </row>
    <row r="33">
      <c r="A33" s="19" t="inlineStr">
        <is>
          <t>2026-02-01</t>
        </is>
      </c>
      <c r="B33" s="20" t="n">
        <v>0</v>
      </c>
      <c r="C33" s="20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3099364019.88</v>
      </c>
      <c r="I33" s="20" t="n">
        <v>2198750303.2</v>
      </c>
    </row>
    <row r="34">
      <c r="A34" s="17" t="inlineStr">
        <is>
          <t>2026-02-02</t>
        </is>
      </c>
      <c r="B34" s="18" t="n">
        <v>2269898226.55</v>
      </c>
      <c r="C34" s="18" t="n">
        <v>2182976321.3</v>
      </c>
      <c r="D34" s="18" t="n">
        <v>37065527.1564</v>
      </c>
      <c r="E34" s="18" t="n">
        <v>2269898226.55</v>
      </c>
      <c r="F34" s="18" t="n">
        <v>127681775.28</v>
      </c>
      <c r="G34" s="18" t="n">
        <v>20304239.6395</v>
      </c>
      <c r="H34" s="18" t="n">
        <v>1507167329.46</v>
      </c>
      <c r="I34" s="18" t="n">
        <v>614082128.51</v>
      </c>
    </row>
    <row r="35">
      <c r="A35" s="19" t="inlineStr">
        <is>
          <t>2026-02-03</t>
        </is>
      </c>
      <c r="B35" s="20" t="n">
        <v>648873870.13</v>
      </c>
      <c r="C35" s="20" t="n">
        <v>776364629.26</v>
      </c>
      <c r="D35" s="20" t="n">
        <v>13275393.1628</v>
      </c>
      <c r="E35" s="20" t="n">
        <v>648873870.13</v>
      </c>
      <c r="F35" s="20" t="n">
        <v>36499155.23</v>
      </c>
      <c r="G35" s="20" t="n">
        <v>5804176.7685</v>
      </c>
      <c r="H35" s="20" t="n">
        <v>1316154791.09</v>
      </c>
      <c r="I35" s="20" t="n">
        <v>554133449.37</v>
      </c>
    </row>
    <row r="36">
      <c r="A36" s="17" t="inlineStr">
        <is>
          <t>2026-02-04</t>
        </is>
      </c>
      <c r="B36" s="18" t="n">
        <v>595739783.8</v>
      </c>
      <c r="C36" s="18" t="n">
        <v>630356141.4</v>
      </c>
      <c r="D36" s="18" t="n">
        <v>10649518.8468</v>
      </c>
      <c r="E36" s="18" t="n">
        <v>595739783.8</v>
      </c>
      <c r="F36" s="18" t="n">
        <v>33510362.86</v>
      </c>
      <c r="G36" s="18" t="n">
        <v>5328892.3664</v>
      </c>
      <c r="H36" s="18" t="n">
        <v>1296886279.3</v>
      </c>
      <c r="I36" s="18" t="n">
        <v>568617978.89</v>
      </c>
    </row>
    <row r="37">
      <c r="A37" s="19" t="inlineStr">
        <is>
          <t>2026-02-05</t>
        </is>
      </c>
      <c r="B37" s="20" t="n">
        <v>605587073.9299999</v>
      </c>
      <c r="C37" s="20" t="n">
        <v>587667909.96</v>
      </c>
      <c r="D37" s="20" t="n">
        <v>9959843.067299999</v>
      </c>
      <c r="E37" s="20" t="n">
        <v>605587073.9299999</v>
      </c>
      <c r="F37" s="20" t="n">
        <v>34064272.92</v>
      </c>
      <c r="G37" s="20" t="n">
        <v>5416976.3769</v>
      </c>
      <c r="H37" s="20" t="n">
        <v>1329539870.61</v>
      </c>
      <c r="I37" s="20" t="n">
        <v>582523594.67</v>
      </c>
    </row>
    <row r="38">
      <c r="A38" s="17" t="inlineStr">
        <is>
          <t>2026-02-06</t>
        </is>
      </c>
      <c r="B38" s="18" t="n">
        <v>669580920.12</v>
      </c>
      <c r="C38" s="18" t="n">
        <v>607365287.22</v>
      </c>
      <c r="D38" s="18" t="n">
        <v>10289954.1906</v>
      </c>
      <c r="E38" s="18" t="n">
        <v>669580920.12</v>
      </c>
      <c r="F38" s="18" t="n">
        <v>37663926.77</v>
      </c>
      <c r="G38" s="18" t="n">
        <v>5989401.333</v>
      </c>
      <c r="H38" s="18" t="n">
        <v>1499508212.88</v>
      </c>
      <c r="I38" s="18" t="n">
        <v>684215214.13</v>
      </c>
    </row>
    <row r="39">
      <c r="A39" s="19" t="inlineStr">
        <is>
          <t>2026-02-07</t>
        </is>
      </c>
      <c r="B39" s="20" t="n">
        <v>0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2259848551.32</v>
      </c>
      <c r="I39" s="20" t="n">
        <v>1401786408.55</v>
      </c>
    </row>
    <row r="40">
      <c r="A40" s="17" t="inlineStr">
        <is>
          <t>2026-02-08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3020555690.87</v>
      </c>
      <c r="I40" s="18" t="n">
        <v>2119703771.52</v>
      </c>
    </row>
    <row r="41">
      <c r="A41" s="19" t="inlineStr">
        <is>
          <t>2026-02-09</t>
        </is>
      </c>
      <c r="B41" s="20" t="n">
        <v>2196378241.61</v>
      </c>
      <c r="C41" s="20" t="n">
        <v>2129119069.19</v>
      </c>
      <c r="D41" s="20" t="n">
        <v>36137504.5116</v>
      </c>
      <c r="E41" s="20" t="n">
        <v>2196378241.61</v>
      </c>
      <c r="F41" s="20" t="n">
        <v>123546276.08</v>
      </c>
      <c r="G41" s="20" t="n">
        <v>19646603.3742</v>
      </c>
      <c r="H41" s="20" t="n">
        <v>1503147291.86</v>
      </c>
      <c r="I41" s="20" t="n">
        <v>624173750.99</v>
      </c>
    </row>
    <row r="42">
      <c r="A42" s="17" t="inlineStr">
        <is>
          <t>2026-02-10</t>
        </is>
      </c>
      <c r="B42" s="18" t="n">
        <v>661932128.28</v>
      </c>
      <c r="C42" s="18" t="n">
        <v>754683263.64</v>
      </c>
      <c r="D42" s="18" t="n">
        <v>12905132.3628</v>
      </c>
      <c r="E42" s="18" t="n">
        <v>661932128.28</v>
      </c>
      <c r="F42" s="18" t="n">
        <v>37233682.2</v>
      </c>
      <c r="G42" s="18" t="n">
        <v>5920982.8872</v>
      </c>
      <c r="H42" s="18" t="n">
        <v>1361842603.3</v>
      </c>
      <c r="I42" s="18" t="n">
        <v>578351335.15</v>
      </c>
    </row>
    <row r="43">
      <c r="A43" s="19" t="inlineStr">
        <is>
          <t>2026-02-11</t>
        </is>
      </c>
      <c r="B43" s="20" t="n">
        <v>611622007.35</v>
      </c>
      <c r="C43" s="20" t="n">
        <v>644520591.53</v>
      </c>
      <c r="D43" s="20" t="n">
        <v>10899475.768</v>
      </c>
      <c r="E43" s="20" t="n">
        <v>611622007.35</v>
      </c>
      <c r="F43" s="20" t="n">
        <v>34403737.92</v>
      </c>
      <c r="G43" s="20" t="n">
        <v>5470958.8558</v>
      </c>
      <c r="H43" s="20" t="n">
        <v>1327098788.6</v>
      </c>
      <c r="I43" s="20" t="n">
        <v>576609898.8099999</v>
      </c>
    </row>
    <row r="44">
      <c r="A44" s="17" t="inlineStr">
        <is>
          <t>2026-02-12</t>
        </is>
      </c>
      <c r="B44" s="18" t="n">
        <v>603725392.4</v>
      </c>
      <c r="C44" s="18" t="n">
        <v>612650004.55</v>
      </c>
      <c r="D44" s="18" t="n">
        <v>10408960.9276</v>
      </c>
      <c r="E44" s="18" t="n">
        <v>603725392.4</v>
      </c>
      <c r="F44" s="18" t="n">
        <v>33959553.33</v>
      </c>
      <c r="G44" s="18" t="n">
        <v>5400323.6351</v>
      </c>
      <c r="H44" s="18" t="n">
        <v>1302469609.32</v>
      </c>
      <c r="I44" s="18" t="n">
        <v>561788713.6</v>
      </c>
    </row>
    <row r="45">
      <c r="A45" s="19" t="inlineStr">
        <is>
          <t>2026-02-13</t>
        </is>
      </c>
      <c r="B45" s="20" t="n">
        <v>661076725.6900001</v>
      </c>
      <c r="C45" s="20" t="n">
        <v>611673051.96</v>
      </c>
      <c r="D45" s="20" t="n">
        <v>10366851.06</v>
      </c>
      <c r="E45" s="20" t="n">
        <v>661076725.6900001</v>
      </c>
      <c r="F45" s="20" t="n">
        <v>37185565.84</v>
      </c>
      <c r="G45" s="20" t="n">
        <v>5913331.3116</v>
      </c>
      <c r="H45" s="20" t="n">
        <v>1476229132.32</v>
      </c>
      <c r="I45" s="20" t="n">
        <v>679149546.34</v>
      </c>
    </row>
    <row r="46">
      <c r="A46" s="17" t="inlineStr">
        <is>
          <t>2026-02-14</t>
        </is>
      </c>
      <c r="B46" s="18" t="n">
        <v>0</v>
      </c>
      <c r="C46" s="18" t="n">
        <v>0</v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2258959580.25</v>
      </c>
      <c r="I46" s="18" t="n">
        <v>1417851406.57</v>
      </c>
    </row>
    <row r="47">
      <c r="A47" s="19" t="inlineStr">
        <is>
          <t>2026-02-15</t>
        </is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3044076893.41</v>
      </c>
      <c r="I47" s="20" t="n">
        <v>2158805870.93</v>
      </c>
    </row>
    <row r="48">
      <c r="A48" s="17" t="inlineStr">
        <is>
          <t>2026-02-16</t>
        </is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3659762611.41</v>
      </c>
      <c r="I48" s="18" t="n">
        <v>2739859267.31</v>
      </c>
    </row>
    <row r="49">
      <c r="A49" s="19" t="inlineStr">
        <is>
          <t>2026-02-17</t>
        </is>
      </c>
      <c r="B49" s="20" t="n">
        <v>2899275138.1</v>
      </c>
      <c r="C49" s="20" t="n">
        <v>2902018760.49</v>
      </c>
      <c r="D49" s="20" t="n">
        <v>49340244.7389</v>
      </c>
      <c r="E49" s="20" t="n">
        <v>2899275138.1</v>
      </c>
      <c r="F49" s="20" t="n">
        <v>163084226.46</v>
      </c>
      <c r="G49" s="20" t="n">
        <v>25934016.1122</v>
      </c>
      <c r="H49" s="20" t="n">
        <v>1361768570.8</v>
      </c>
      <c r="I49" s="20" t="n">
        <v>573716685.05</v>
      </c>
    </row>
    <row r="50">
      <c r="A50" s="17" t="inlineStr">
        <is>
          <t>2026-02-18</t>
        </is>
      </c>
      <c r="B50" s="18" t="n">
        <v>610643627.35</v>
      </c>
      <c r="C50" s="18" t="n">
        <v>652576186.1799999</v>
      </c>
      <c r="D50" s="18" t="n">
        <v>11036453.8652</v>
      </c>
      <c r="E50" s="18" t="n">
        <v>610643627.35</v>
      </c>
      <c r="F50" s="18" t="n">
        <v>34348704.06</v>
      </c>
      <c r="G50" s="18" t="n">
        <v>5462207.2465</v>
      </c>
      <c r="H50" s="18" t="n">
        <v>1321412828.76</v>
      </c>
      <c r="I50" s="18" t="n">
        <v>575204805.85</v>
      </c>
    </row>
    <row r="51">
      <c r="A51" s="19" t="inlineStr">
        <is>
          <t>2026-02-19</t>
        </is>
      </c>
      <c r="B51" s="20" t="n">
        <v>605820529.09</v>
      </c>
      <c r="C51" s="20" t="n">
        <v>606807928.3200001</v>
      </c>
      <c r="D51" s="20" t="n">
        <v>10296917.2392</v>
      </c>
      <c r="E51" s="20" t="n">
        <v>605820529.09</v>
      </c>
      <c r="F51" s="20" t="n">
        <v>34077404.79</v>
      </c>
      <c r="G51" s="20" t="n">
        <v>5419064.633</v>
      </c>
      <c r="H51" s="20" t="n">
        <v>1315821323.69</v>
      </c>
      <c r="I51" s="20" t="n">
        <v>570859680.98</v>
      </c>
    </row>
    <row r="52">
      <c r="A52" s="17" t="inlineStr">
        <is>
          <t>2026-02-20</t>
        </is>
      </c>
      <c r="B52" s="18" t="n">
        <v>666734087.1</v>
      </c>
      <c r="C52" s="18" t="n">
        <v>611832713.64</v>
      </c>
      <c r="D52" s="18" t="n">
        <v>10368395.058</v>
      </c>
      <c r="E52" s="18" t="n">
        <v>666734087.1</v>
      </c>
      <c r="F52" s="18" t="n">
        <v>37503792.41</v>
      </c>
      <c r="G52" s="18" t="n">
        <v>5963936.4097</v>
      </c>
      <c r="H52" s="18" t="n">
        <v>1490754003.98</v>
      </c>
      <c r="I52" s="18" t="n">
        <v>684139226.86</v>
      </c>
    </row>
    <row r="53">
      <c r="A53" s="19" t="inlineStr">
        <is>
          <t>2026-02-21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2285526148.46</v>
      </c>
      <c r="I53" s="20" t="n">
        <v>1434205438.18</v>
      </c>
    </row>
    <row r="54">
      <c r="A54" s="17" t="inlineStr">
        <is>
          <t>2026-02-22</t>
        </is>
      </c>
      <c r="B54" s="18" t="n">
        <v>0</v>
      </c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3031428702.28</v>
      </c>
      <c r="I54" s="18" t="n">
        <v>2138150973.33</v>
      </c>
    </row>
    <row r="55">
      <c r="A55" s="19" t="inlineStr">
        <is>
          <t>2026-02-23</t>
        </is>
      </c>
      <c r="B55" s="20" t="n">
        <v>2215038223.44</v>
      </c>
      <c r="C55" s="20" t="n">
        <v>2146454837.92</v>
      </c>
      <c r="D55" s="20" t="n">
        <v>36443387.251</v>
      </c>
      <c r="E55" s="20" t="n">
        <v>2215038223.44</v>
      </c>
      <c r="F55" s="20" t="n">
        <v>124595900.11</v>
      </c>
      <c r="G55" s="20" t="n">
        <v>19813516.9106</v>
      </c>
      <c r="H55" s="20" t="n">
        <v>1479219782.47</v>
      </c>
      <c r="I55" s="20" t="n">
        <v>608528235.14</v>
      </c>
    </row>
    <row r="56">
      <c r="A56" s="17" t="inlineStr">
        <is>
          <t>2026-02-24</t>
        </is>
      </c>
      <c r="B56" s="18" t="n">
        <v>643893921.37</v>
      </c>
      <c r="C56" s="18" t="n">
        <v>750560472.1900001</v>
      </c>
      <c r="D56" s="18" t="n">
        <v>12822893.6676</v>
      </c>
      <c r="E56" s="18" t="n">
        <v>643893921.37</v>
      </c>
      <c r="F56" s="18" t="n">
        <v>36219033.11</v>
      </c>
      <c r="G56" s="18" t="n">
        <v>5759631.1269</v>
      </c>
      <c r="H56" s="18" t="n">
        <v>1320192602.5</v>
      </c>
      <c r="I56" s="18" t="n">
        <v>559112891.41</v>
      </c>
    </row>
    <row r="57">
      <c r="A57" s="19" t="inlineStr">
        <is>
          <t>2026-02-25</t>
        </is>
      </c>
      <c r="B57" s="20" t="n">
        <v>591426469.6900001</v>
      </c>
      <c r="C57" s="20" t="n">
        <v>627471541.92</v>
      </c>
      <c r="D57" s="20" t="n">
        <v>10611774.3012</v>
      </c>
      <c r="E57" s="20" t="n">
        <v>591426469.6900001</v>
      </c>
      <c r="F57" s="20" t="n">
        <v>33267738.95</v>
      </c>
      <c r="G57" s="20" t="n">
        <v>5290309.7723</v>
      </c>
      <c r="H57" s="20" t="n">
        <v>1281221259.31</v>
      </c>
      <c r="I57" s="20" t="n">
        <v>556351223.21</v>
      </c>
    </row>
    <row r="58">
      <c r="A58" s="17" t="inlineStr">
        <is>
          <t>2026-02-26</t>
        </is>
      </c>
      <c r="B58" s="18" t="n">
        <v>591693643.48</v>
      </c>
      <c r="C58" s="18" t="n">
        <v>592074218.74</v>
      </c>
      <c r="D58" s="18" t="n">
        <v>10053419.893</v>
      </c>
      <c r="E58" s="18" t="n">
        <v>591693643.48</v>
      </c>
      <c r="F58" s="18" t="n">
        <v>33282767.46</v>
      </c>
      <c r="G58" s="18" t="n">
        <v>5292699.6414</v>
      </c>
      <c r="H58" s="18" t="n">
        <v>1284194480.05</v>
      </c>
      <c r="I58" s="18" t="n">
        <v>559516368.17</v>
      </c>
    </row>
    <row r="59">
      <c r="A59" s="19" t="inlineStr">
        <is>
          <t>2026-02-27</t>
        </is>
      </c>
      <c r="B59" s="20" t="n">
        <v>666176421.64</v>
      </c>
      <c r="C59" s="20" t="n">
        <v>591628710.8</v>
      </c>
      <c r="D59" s="20" t="n">
        <v>10005824.8644</v>
      </c>
      <c r="E59" s="20" t="n">
        <v>666176421.64</v>
      </c>
      <c r="F59" s="20" t="n">
        <v>37472423.72</v>
      </c>
      <c r="G59" s="20" t="n">
        <v>5958948.0915</v>
      </c>
      <c r="H59" s="20" t="n">
        <v>1507547395.93</v>
      </c>
      <c r="I59" s="20" t="n">
        <v>699951280.46</v>
      </c>
    </row>
    <row r="60">
      <c r="A60" s="17" t="inlineStr">
        <is>
          <t>2026-02-28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2267286947.82</v>
      </c>
      <c r="I60" s="18" t="n">
        <v>1416955482.53</v>
      </c>
    </row>
    <row r="61">
      <c r="A61" s="19" t="inlineStr">
        <is>
          <t>2026-03-01</t>
        </is>
      </c>
      <c r="B61" s="20" t="n">
        <v>0</v>
      </c>
      <c r="C61" s="20" t="n">
        <v>0</v>
      </c>
      <c r="D61" s="20" t="n">
        <v>0</v>
      </c>
      <c r="E61" s="20" t="n">
        <v>0</v>
      </c>
      <c r="F61" s="20" t="n">
        <v>0</v>
      </c>
      <c r="G61" s="20" t="n">
        <v>0</v>
      </c>
      <c r="H61" s="20" t="n">
        <v>3069944661.32</v>
      </c>
      <c r="I61" s="20" t="n">
        <v>2174463699.7</v>
      </c>
    </row>
    <row r="62">
      <c r="A62" s="17" t="inlineStr">
        <is>
          <t>2026-03-02</t>
        </is>
      </c>
      <c r="B62" s="18" t="n">
        <v>2226417706.53</v>
      </c>
      <c r="C62" s="18" t="n">
        <v>2137947638.37</v>
      </c>
      <c r="D62" s="18" t="n">
        <v>36265687.7453</v>
      </c>
      <c r="E62" s="18" t="n">
        <v>2226417706.53</v>
      </c>
      <c r="F62" s="18" t="n">
        <v>125235995.99</v>
      </c>
      <c r="G62" s="18" t="n">
        <v>19915306.3846</v>
      </c>
      <c r="H62" s="18" t="n">
        <v>1501705367.06</v>
      </c>
      <c r="I62" s="18" t="n">
        <v>610944238.86</v>
      </c>
    </row>
    <row r="63">
      <c r="A63" s="19" t="inlineStr">
        <is>
          <t>2026-03-03</t>
        </is>
      </c>
      <c r="B63" s="20" t="n">
        <v>655446042.36</v>
      </c>
      <c r="C63" s="20" t="n">
        <v>784140380.46</v>
      </c>
      <c r="D63" s="20" t="n">
        <v>13465425.6804</v>
      </c>
      <c r="E63" s="20" t="n">
        <v>655446042.36</v>
      </c>
      <c r="F63" s="20" t="n">
        <v>36868839.88</v>
      </c>
      <c r="G63" s="20" t="n">
        <v>5862964.8503</v>
      </c>
      <c r="H63" s="20" t="n">
        <v>1311537056.06</v>
      </c>
      <c r="I63" s="20" t="n">
        <v>552928176.9400001</v>
      </c>
    </row>
    <row r="64">
      <c r="A64" s="17" t="inlineStr">
        <is>
          <t>2026-03-04</t>
        </is>
      </c>
      <c r="B64" s="18" t="n">
        <v>588869989.58</v>
      </c>
      <c r="C64" s="18" t="n">
        <v>622017329.15</v>
      </c>
      <c r="D64" s="18" t="n">
        <v>10476781.548</v>
      </c>
      <c r="E64" s="18" t="n">
        <v>588869989.58</v>
      </c>
      <c r="F64" s="18" t="n">
        <v>33123936.93</v>
      </c>
      <c r="G64" s="18" t="n">
        <v>5267442.0582</v>
      </c>
      <c r="H64" s="18" t="n">
        <v>1292449282.08</v>
      </c>
      <c r="I64" s="18" t="n">
        <v>566196891.98</v>
      </c>
    </row>
    <row r="65">
      <c r="A65" s="19" t="inlineStr">
        <is>
          <t>2026-03-05</t>
        </is>
      </c>
      <c r="B65" s="20" t="n">
        <v>602484542.2</v>
      </c>
      <c r="C65" s="20" t="n">
        <v>589068573.96</v>
      </c>
      <c r="D65" s="20" t="n">
        <v>10002881.7732</v>
      </c>
      <c r="E65" s="20" t="n">
        <v>602484542.2</v>
      </c>
      <c r="F65" s="20" t="n">
        <v>33889755.49</v>
      </c>
      <c r="G65" s="20" t="n">
        <v>5389224.2321</v>
      </c>
      <c r="H65" s="20" t="n">
        <v>1313932710.08</v>
      </c>
      <c r="I65" s="20" t="n">
        <v>573810557.14</v>
      </c>
    </row>
    <row r="66">
      <c r="A66" s="17" t="inlineStr">
        <is>
          <t>2026-03-06</t>
        </is>
      </c>
      <c r="B66" s="18" t="n">
        <v>670041419.7</v>
      </c>
      <c r="C66" s="18" t="n">
        <v>603124713.2</v>
      </c>
      <c r="D66" s="18" t="n">
        <v>10209324.5736</v>
      </c>
      <c r="E66" s="18" t="n">
        <v>670041419.7</v>
      </c>
      <c r="F66" s="18" t="n">
        <v>37689829.87</v>
      </c>
      <c r="G66" s="18" t="n">
        <v>5993520.4999</v>
      </c>
      <c r="H66" s="18" t="n">
        <v>1507450698.85</v>
      </c>
      <c r="I66" s="18" t="n">
        <v>693290517.24</v>
      </c>
    </row>
    <row r="67">
      <c r="A67" s="19" t="inlineStr">
        <is>
          <t>2026-03-07</t>
        </is>
      </c>
      <c r="B67" s="20" t="n">
        <v>0</v>
      </c>
      <c r="C67" s="20" t="n">
        <v>0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2306015024.15</v>
      </c>
      <c r="I67" s="20" t="n">
        <v>1446935599.24</v>
      </c>
    </row>
    <row r="68">
      <c r="A68" s="17" t="inlineStr">
        <is>
          <t>2026-03-08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3077854857.46</v>
      </c>
      <c r="I68" s="18" t="n">
        <v>2175359441.94</v>
      </c>
    </row>
    <row r="69">
      <c r="A69" s="19" t="inlineStr">
        <is>
          <t>2026-03-09</t>
        </is>
      </c>
      <c r="B69" s="20" t="n">
        <v>2244962572.04</v>
      </c>
      <c r="C69" s="20" t="n">
        <v>2167121242.45</v>
      </c>
      <c r="D69" s="20" t="n">
        <v>36790045.2036</v>
      </c>
      <c r="E69" s="20" t="n">
        <v>2244962572.04</v>
      </c>
      <c r="F69" s="20" t="n">
        <v>126279144.7</v>
      </c>
      <c r="G69" s="20" t="n">
        <v>20081190.2092</v>
      </c>
      <c r="H69" s="20" t="n">
        <v>1502411282.74</v>
      </c>
      <c r="I69" s="20" t="n">
        <v>615071813.52</v>
      </c>
    </row>
    <row r="70">
      <c r="A70" s="17" t="inlineStr">
        <is>
          <t>2026-03-10</t>
        </is>
      </c>
      <c r="B70" s="18" t="n">
        <v>659653688.98</v>
      </c>
      <c r="C70" s="18" t="n">
        <v>770750393.98</v>
      </c>
      <c r="D70" s="18" t="n">
        <v>13185398.9288</v>
      </c>
      <c r="E70" s="18" t="n">
        <v>659653688.98</v>
      </c>
      <c r="F70" s="18" t="n">
        <v>37105520.01</v>
      </c>
      <c r="G70" s="18" t="n">
        <v>5900602.249</v>
      </c>
      <c r="H70" s="18" t="n">
        <v>1347104454.62</v>
      </c>
      <c r="I70" s="18" t="n">
        <v>573348509.8</v>
      </c>
    </row>
    <row r="71">
      <c r="A71" s="19" t="inlineStr">
        <is>
          <t>2026-03-11</t>
        </is>
      </c>
      <c r="B71" s="20" t="n">
        <v>601225918.58</v>
      </c>
      <c r="C71" s="20" t="n">
        <v>632075109.62</v>
      </c>
      <c r="D71" s="20" t="n">
        <v>10667919.3912</v>
      </c>
      <c r="E71" s="20" t="n">
        <v>601225918.58</v>
      </c>
      <c r="F71" s="20" t="n">
        <v>33818957.95</v>
      </c>
      <c r="G71" s="20" t="n">
        <v>5377965.8438</v>
      </c>
      <c r="H71" s="20" t="n">
        <v>1311585867.15</v>
      </c>
      <c r="I71" s="20" t="n">
        <v>568941766.89</v>
      </c>
    </row>
    <row r="72">
      <c r="A72" s="17" t="inlineStr">
        <is>
          <t>2026-03-12</t>
        </is>
      </c>
      <c r="B72" s="18" t="n">
        <v>596345911.39</v>
      </c>
      <c r="C72" s="18" t="n">
        <v>609264397.71</v>
      </c>
      <c r="D72" s="18" t="n">
        <v>10366959.7776</v>
      </c>
      <c r="E72" s="18" t="n">
        <v>596345911.39</v>
      </c>
      <c r="F72" s="18" t="n">
        <v>33544457.56</v>
      </c>
      <c r="G72" s="18" t="n">
        <v>5334314.1787</v>
      </c>
      <c r="H72" s="18" t="n">
        <v>1279359115.62</v>
      </c>
      <c r="I72" s="18" t="n">
        <v>550719591.6</v>
      </c>
    </row>
    <row r="73">
      <c r="A73" s="19" t="inlineStr">
        <is>
          <t>2026-03-13</t>
        </is>
      </c>
      <c r="B73" s="20" t="n">
        <v>642358415.84</v>
      </c>
      <c r="C73" s="20" t="n">
        <v>601695351.0599999</v>
      </c>
      <c r="D73" s="20" t="n">
        <v>10194899.2872</v>
      </c>
      <c r="E73" s="20" t="n">
        <v>642358415.84</v>
      </c>
      <c r="F73" s="20" t="n">
        <v>36132660.93</v>
      </c>
      <c r="G73" s="20" t="n">
        <v>5745896.03</v>
      </c>
      <c r="H73" s="20" t="n">
        <v>1431144843.75</v>
      </c>
      <c r="I73" s="20" t="n">
        <v>655591605.16</v>
      </c>
    </row>
    <row r="74">
      <c r="A74" s="17" t="inlineStr">
        <is>
          <t>2026-03-14</t>
        </is>
      </c>
      <c r="B74" s="18" t="n">
        <v>0</v>
      </c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2189629660.26</v>
      </c>
      <c r="I74" s="18" t="n">
        <v>1371411650.74</v>
      </c>
    </row>
    <row r="75">
      <c r="A75" s="19" t="inlineStr">
        <is>
          <t>2026-03-15</t>
        </is>
      </c>
      <c r="B75" s="20" t="n">
        <v>0</v>
      </c>
      <c r="C75" s="20" t="n">
        <v>0</v>
      </c>
      <c r="D75" s="20" t="n">
        <v>0</v>
      </c>
      <c r="E75" s="20" t="n">
        <v>0</v>
      </c>
      <c r="F75" s="20" t="n">
        <v>0</v>
      </c>
      <c r="G75" s="20" t="n">
        <v>0</v>
      </c>
      <c r="H75" s="20" t="n">
        <v>2981263221.67</v>
      </c>
      <c r="I75" s="20" t="n">
        <v>2118515824.37</v>
      </c>
    </row>
    <row r="76">
      <c r="A76" s="17" t="inlineStr">
        <is>
          <t>2026-03-16</t>
        </is>
      </c>
      <c r="B76" s="18" t="n">
        <v>2181761680.06</v>
      </c>
      <c r="C76" s="18" t="n">
        <v>2060453979.64</v>
      </c>
      <c r="D76" s="18" t="n">
        <v>34927759.3512</v>
      </c>
      <c r="E76" s="18" t="n">
        <v>2181761680.06</v>
      </c>
      <c r="F76" s="18" t="n">
        <v>122724094.51</v>
      </c>
      <c r="G76" s="18" t="n">
        <v>19515858.2307</v>
      </c>
      <c r="H76" s="18" t="n">
        <v>1523372905.28</v>
      </c>
      <c r="I76" s="18" t="n">
        <v>628147695.97</v>
      </c>
    </row>
    <row r="77">
      <c r="A77" s="19" t="inlineStr">
        <is>
          <t>2026-03-17</t>
        </is>
      </c>
      <c r="B77" s="20" t="n">
        <v>668875320.33</v>
      </c>
      <c r="C77" s="20" t="n">
        <v>776876692.47</v>
      </c>
      <c r="D77" s="20" t="n">
        <v>13314769.95</v>
      </c>
      <c r="E77" s="20" t="n">
        <v>668875320.33</v>
      </c>
      <c r="F77" s="20" t="n">
        <v>37624236.76</v>
      </c>
      <c r="G77" s="20" t="n">
        <v>5983089.742</v>
      </c>
      <c r="H77" s="20" t="n">
        <v>1358924949.18</v>
      </c>
      <c r="I77" s="20" t="n">
        <v>574876232.37</v>
      </c>
    </row>
    <row r="78">
      <c r="A78" s="17" t="inlineStr">
        <is>
          <t>2026-03-18</t>
        </is>
      </c>
      <c r="B78" s="18" t="n">
        <v>602433950.67</v>
      </c>
      <c r="C78" s="18" t="n">
        <v>644352450.89</v>
      </c>
      <c r="D78" s="18" t="n">
        <v>10882420.813</v>
      </c>
      <c r="E78" s="18" t="n">
        <v>602433950.67</v>
      </c>
      <c r="F78" s="18" t="n">
        <v>33886909.73</v>
      </c>
      <c r="G78" s="18" t="n">
        <v>5388771.6901</v>
      </c>
      <c r="H78" s="18" t="n">
        <v>1306881950.66</v>
      </c>
      <c r="I78" s="18" t="n">
        <v>565321237.11</v>
      </c>
    </row>
    <row r="79">
      <c r="A79" s="19" t="inlineStr">
        <is>
          <t>2026-03-19</t>
        </is>
      </c>
      <c r="B79" s="20" t="n">
        <v>602530634.4</v>
      </c>
      <c r="C79" s="20" t="n">
        <v>609559091.41</v>
      </c>
      <c r="D79" s="20" t="n">
        <v>10363801.1846</v>
      </c>
      <c r="E79" s="20" t="n">
        <v>602530634.4</v>
      </c>
      <c r="F79" s="20" t="n">
        <v>33892348.17</v>
      </c>
      <c r="G79" s="20" t="n">
        <v>5389636.5256</v>
      </c>
      <c r="H79" s="20" t="n">
        <v>1300176573.69</v>
      </c>
      <c r="I79" s="20" t="n">
        <v>565626143.9</v>
      </c>
    </row>
    <row r="80">
      <c r="A80" s="17" t="inlineStr">
        <is>
          <t>2026-03-20</t>
        </is>
      </c>
      <c r="B80" s="18" t="n">
        <v>663267327.33</v>
      </c>
      <c r="C80" s="18" t="n">
        <v>599075316.33</v>
      </c>
      <c r="D80" s="18" t="n">
        <v>10129280.7878</v>
      </c>
      <c r="E80" s="18" t="n">
        <v>663267327.33</v>
      </c>
      <c r="F80" s="18" t="n">
        <v>37308787.16</v>
      </c>
      <c r="G80" s="18" t="n">
        <v>5932926.2437</v>
      </c>
      <c r="H80" s="18" t="n">
        <v>1495740072.58</v>
      </c>
      <c r="I80" s="18" t="n">
        <v>689607985.58</v>
      </c>
    </row>
    <row r="81">
      <c r="A81" s="19" t="inlineStr">
        <is>
          <t>2026-03-21</t>
        </is>
      </c>
      <c r="B81" s="20" t="n">
        <v>0</v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0" t="n">
        <v>2268501363.55</v>
      </c>
      <c r="I81" s="20" t="n">
        <v>1418901453.95</v>
      </c>
    </row>
    <row r="82">
      <c r="A82" s="17" t="inlineStr">
        <is>
          <t>2026-03-22</t>
        </is>
      </c>
      <c r="B82" s="18" t="n">
        <v>0</v>
      </c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3059189904.11</v>
      </c>
      <c r="I82" s="18" t="n">
        <v>2165113764.03</v>
      </c>
    </row>
    <row r="83">
      <c r="A83" s="19" t="inlineStr">
        <is>
          <t>2026-03-23</t>
        </is>
      </c>
      <c r="B83" s="20" t="n">
        <v>2226625877.33</v>
      </c>
      <c r="C83" s="20" t="n">
        <v>2136002274.46</v>
      </c>
      <c r="D83" s="20" t="n">
        <v>36241238.4536</v>
      </c>
      <c r="E83" s="20" t="n">
        <v>2226625877.33</v>
      </c>
      <c r="F83" s="20" t="n">
        <v>125247705.64</v>
      </c>
      <c r="G83" s="20" t="n">
        <v>19917168.4719</v>
      </c>
      <c r="H83" s="20" t="n">
        <v>1511272962.71</v>
      </c>
      <c r="I83" s="20" t="n">
        <v>618741125.4</v>
      </c>
    </row>
    <row r="84">
      <c r="A84" s="17" t="inlineStr">
        <is>
          <t>2026-03-24</t>
        </is>
      </c>
      <c r="B84" s="18" t="n">
        <v>657412968.12</v>
      </c>
      <c r="C84" s="18" t="n">
        <v>778694214.25</v>
      </c>
      <c r="D84" s="18" t="n">
        <v>13350093.2522</v>
      </c>
      <c r="E84" s="18" t="n">
        <v>657412968.12</v>
      </c>
      <c r="F84" s="18" t="n">
        <v>36979479.49</v>
      </c>
      <c r="G84" s="18" t="n">
        <v>5880559.0002</v>
      </c>
      <c r="H84" s="18" t="n">
        <v>1326043779.22</v>
      </c>
      <c r="I84" s="18" t="n">
        <v>558390259.54</v>
      </c>
    </row>
    <row r="85">
      <c r="A85" s="19" t="inlineStr">
        <is>
          <t>2026-03-25</t>
        </is>
      </c>
      <c r="B85" s="20" t="n">
        <v>591559693.92</v>
      </c>
      <c r="C85" s="20" t="n">
        <v>632869863.6</v>
      </c>
      <c r="D85" s="20" t="n">
        <v>10683017.2056</v>
      </c>
      <c r="E85" s="20" t="n">
        <v>591559693.92</v>
      </c>
      <c r="F85" s="20" t="n">
        <v>33275232.8</v>
      </c>
      <c r="G85" s="20" t="n">
        <v>5291501.4628</v>
      </c>
      <c r="H85" s="20" t="n">
        <v>1286302633.53</v>
      </c>
      <c r="I85" s="20" t="n">
        <v>559871025.92</v>
      </c>
    </row>
    <row r="86">
      <c r="A86" s="17" t="inlineStr">
        <is>
          <t>2026-03-26</t>
        </is>
      </c>
      <c r="B86" s="18" t="n">
        <v>588356211.6900001</v>
      </c>
      <c r="C86" s="18" t="n">
        <v>592121506.4299999</v>
      </c>
      <c r="D86" s="18" t="n">
        <v>10058359.981</v>
      </c>
      <c r="E86" s="18" t="n">
        <v>588356211.6900001</v>
      </c>
      <c r="F86" s="18" t="n">
        <v>33095036.91</v>
      </c>
      <c r="G86" s="18" t="n">
        <v>5262846.3141</v>
      </c>
      <c r="H86" s="18" t="n">
        <v>1272656013.48</v>
      </c>
      <c r="I86" s="18" t="n">
        <v>550545525.1900001</v>
      </c>
    </row>
    <row r="87">
      <c r="A87" s="19" t="inlineStr">
        <is>
          <t>2026-03-27</t>
        </is>
      </c>
      <c r="B87" s="20" t="n">
        <v>654332920.1</v>
      </c>
      <c r="C87" s="20" t="n">
        <v>594745756.2</v>
      </c>
      <c r="D87" s="20" t="n">
        <v>10073585.9808</v>
      </c>
      <c r="E87" s="20" t="n">
        <v>654332920.1</v>
      </c>
      <c r="F87" s="20" t="n">
        <v>36806226.77</v>
      </c>
      <c r="G87" s="20" t="n">
        <v>5853007.9706</v>
      </c>
      <c r="H87" s="20" t="n">
        <v>1469305413.33</v>
      </c>
      <c r="I87" s="20" t="n">
        <v>679898010.34</v>
      </c>
    </row>
    <row r="88">
      <c r="A88" s="17" t="inlineStr">
        <is>
          <t>2026-03-28</t>
        </is>
      </c>
      <c r="B88" s="18" t="n">
        <v>0</v>
      </c>
      <c r="C88" s="18" t="n">
        <v>0</v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2238321398.57</v>
      </c>
      <c r="I88" s="18" t="n">
        <v>1405656846.39</v>
      </c>
    </row>
    <row r="89">
      <c r="A89" s="19" t="inlineStr">
        <is>
          <t>2026-03-29</t>
        </is>
      </c>
      <c r="B89" s="20" t="n">
        <v>0</v>
      </c>
      <c r="C89" s="20" t="n">
        <v>0</v>
      </c>
      <c r="D89" s="20" t="n">
        <v>0</v>
      </c>
      <c r="E89" s="20" t="n">
        <v>0</v>
      </c>
      <c r="F89" s="20" t="n">
        <v>0</v>
      </c>
      <c r="G89" s="20" t="n">
        <v>0</v>
      </c>
      <c r="H89" s="20" t="n">
        <v>3018613760.95</v>
      </c>
      <c r="I89" s="20" t="n">
        <v>2142057763.34</v>
      </c>
    </row>
    <row r="90">
      <c r="A90" s="17" t="inlineStr">
        <is>
          <t>2026-03-30</t>
        </is>
      </c>
      <c r="B90" s="18" t="n">
        <v>2212517106.27</v>
      </c>
      <c r="C90" s="18" t="n">
        <v>2106436110.67</v>
      </c>
      <c r="D90" s="18" t="n">
        <v>35725532.3544</v>
      </c>
      <c r="E90" s="18" t="n">
        <v>2212517106.27</v>
      </c>
      <c r="F90" s="18" t="n">
        <v>124454087.3</v>
      </c>
      <c r="G90" s="18" t="n">
        <v>19790965.5142</v>
      </c>
      <c r="H90" s="18" t="n">
        <v>1520831090.14</v>
      </c>
      <c r="I90" s="18" t="n">
        <v>628411428.23</v>
      </c>
    </row>
    <row r="91">
      <c r="A91" s="19" t="inlineStr">
        <is>
          <t>2026-03-31</t>
        </is>
      </c>
      <c r="B91" s="20" t="n">
        <v>665661121.14</v>
      </c>
      <c r="C91" s="20" t="n">
        <v>770939843.76</v>
      </c>
      <c r="D91" s="20" t="n">
        <v>13198552.6932</v>
      </c>
      <c r="E91" s="20" t="n">
        <v>665661121.14</v>
      </c>
      <c r="F91" s="20" t="n">
        <v>37443438.09</v>
      </c>
      <c r="G91" s="20" t="n">
        <v>5954338.7297</v>
      </c>
      <c r="H91" s="20" t="n">
        <v>1357928807.55</v>
      </c>
      <c r="I91" s="20" t="n">
        <v>574029193.51</v>
      </c>
    </row>
    <row r="92">
      <c r="A92" s="17" t="inlineStr">
        <is>
          <t>2026-04-01</t>
        </is>
      </c>
      <c r="B92" s="18" t="n">
        <v>609555977.67</v>
      </c>
      <c r="C92" s="18" t="n">
        <v>646428761.38</v>
      </c>
      <c r="D92" s="18" t="n">
        <v>10925369.5844</v>
      </c>
      <c r="E92" s="18" t="n">
        <v>609555977.67</v>
      </c>
      <c r="F92" s="18" t="n">
        <v>34287523.76</v>
      </c>
      <c r="G92" s="18" t="n">
        <v>5452478.2203</v>
      </c>
      <c r="H92" s="18" t="n">
        <v>1323476978.13</v>
      </c>
      <c r="I92" s="18" t="n">
        <v>576313969.12</v>
      </c>
    </row>
    <row r="93">
      <c r="A93" s="19" t="inlineStr">
        <is>
          <t>2026-04-02</t>
        </is>
      </c>
      <c r="B93" s="20" t="n">
        <v>606080584.79</v>
      </c>
      <c r="C93" s="20" t="n">
        <v>608193132.72</v>
      </c>
      <c r="D93" s="20" t="n">
        <v>10326734.6724</v>
      </c>
      <c r="E93" s="20" t="n">
        <v>606080584.79</v>
      </c>
      <c r="F93" s="20" t="n">
        <v>34092032.92</v>
      </c>
      <c r="G93" s="20" t="n">
        <v>5421390.8321</v>
      </c>
      <c r="H93" s="20" t="n">
        <v>1313511106.69</v>
      </c>
      <c r="I93" s="20" t="n">
        <v>568902395.05</v>
      </c>
    </row>
    <row r="94">
      <c r="A94" s="17" t="inlineStr">
        <is>
          <t>2026-04-03</t>
        </is>
      </c>
      <c r="B94" s="18" t="n">
        <v>660099670.9299999</v>
      </c>
      <c r="C94" s="18" t="n">
        <v>612278959.01</v>
      </c>
      <c r="D94" s="18" t="n">
        <v>10378573.0678</v>
      </c>
      <c r="E94" s="18" t="n">
        <v>660099670.9299999</v>
      </c>
      <c r="F94" s="18" t="n">
        <v>37130606.5</v>
      </c>
      <c r="G94" s="18" t="n">
        <v>5904591.5565</v>
      </c>
      <c r="H94" s="18" t="n">
        <v>1471326967.18</v>
      </c>
      <c r="I94" s="18" t="n">
        <v>672710316.54</v>
      </c>
    </row>
    <row r="95">
      <c r="A95" s="19" t="inlineStr">
        <is>
          <t>2026-04-04</t>
        </is>
      </c>
      <c r="B95" s="20" t="n">
        <v>0</v>
      </c>
      <c r="C95" s="20" t="n">
        <v>0</v>
      </c>
      <c r="D95" s="20" t="n">
        <v>0</v>
      </c>
      <c r="E95" s="20" t="n">
        <v>0</v>
      </c>
      <c r="F95" s="20" t="n">
        <v>0</v>
      </c>
      <c r="G95" s="20" t="n">
        <v>0</v>
      </c>
      <c r="H95" s="20" t="n">
        <v>2249461561.04</v>
      </c>
      <c r="I95" s="20" t="n">
        <v>1407074839.51</v>
      </c>
    </row>
    <row r="96">
      <c r="A96" s="17" t="inlineStr">
        <is>
          <t>2026-04-05</t>
        </is>
      </c>
      <c r="B96" s="18" t="n">
        <v>0</v>
      </c>
      <c r="C96" s="18" t="n">
        <v>0</v>
      </c>
      <c r="D96" s="18" t="n">
        <v>0</v>
      </c>
      <c r="E96" s="18" t="n">
        <v>0</v>
      </c>
      <c r="F96" s="18" t="n">
        <v>0</v>
      </c>
      <c r="G96" s="18" t="n">
        <v>0</v>
      </c>
      <c r="H96" s="18" t="n">
        <v>2989977935.29</v>
      </c>
      <c r="I96" s="18" t="n">
        <v>2105937167.7</v>
      </c>
    </row>
    <row r="97">
      <c r="A97" s="19" t="inlineStr">
        <is>
          <t>2026-04-06</t>
        </is>
      </c>
      <c r="B97" s="20" t="n">
        <v>2175935135.28</v>
      </c>
      <c r="C97" s="20" t="n">
        <v>2113632125.12</v>
      </c>
      <c r="D97" s="20" t="n">
        <v>35883250.7912</v>
      </c>
      <c r="E97" s="20" t="n">
        <v>2175935135.28</v>
      </c>
      <c r="F97" s="20" t="n">
        <v>122396351.36</v>
      </c>
      <c r="G97" s="20" t="n">
        <v>19463739.7857</v>
      </c>
      <c r="H97" s="20" t="n">
        <v>1450297785.67</v>
      </c>
      <c r="I97" s="20" t="n">
        <v>594065560.63</v>
      </c>
    </row>
    <row r="98">
      <c r="A98" s="17" t="inlineStr">
        <is>
          <t>2026-04-07</t>
        </is>
      </c>
      <c r="B98" s="18" t="n">
        <v>630219918.92</v>
      </c>
      <c r="C98" s="18" t="n">
        <v>742152200.83</v>
      </c>
      <c r="D98" s="18" t="n">
        <v>12691737.5962</v>
      </c>
      <c r="E98" s="18" t="n">
        <v>630219918.92</v>
      </c>
      <c r="F98" s="18" t="n">
        <v>35449870.46</v>
      </c>
      <c r="G98" s="18" t="n">
        <v>5637317.1745</v>
      </c>
      <c r="H98" s="18" t="n">
        <v>1284336991.82</v>
      </c>
      <c r="I98" s="18" t="n">
        <v>543076152.48</v>
      </c>
    </row>
    <row r="99">
      <c r="A99" s="19" t="inlineStr">
        <is>
          <t>2026-04-08</t>
        </is>
      </c>
      <c r="B99" s="20" t="n">
        <v>577397646.51</v>
      </c>
      <c r="C99" s="20" t="n">
        <v>610744302.12</v>
      </c>
      <c r="D99" s="20" t="n">
        <v>10318901.4192</v>
      </c>
      <c r="E99" s="20" t="n">
        <v>577397646.51</v>
      </c>
      <c r="F99" s="20" t="n">
        <v>32478617.63</v>
      </c>
      <c r="G99" s="20" t="n">
        <v>5164821.9483</v>
      </c>
      <c r="H99" s="20" t="n">
        <v>1255642246.8</v>
      </c>
      <c r="I99" s="20" t="n">
        <v>547466393.13</v>
      </c>
    </row>
    <row r="100">
      <c r="A100" s="17" t="inlineStr">
        <is>
          <t>2026-04-09</t>
        </is>
      </c>
      <c r="B100" s="18" t="n">
        <v>588478966.73</v>
      </c>
      <c r="C100" s="18" t="n">
        <v>576184521.74</v>
      </c>
      <c r="D100" s="18" t="n">
        <v>9776687.98</v>
      </c>
      <c r="E100" s="18" t="n">
        <v>588478966.73</v>
      </c>
      <c r="F100" s="18" t="n">
        <v>33101941.88</v>
      </c>
      <c r="G100" s="18" t="n">
        <v>5263944.3581</v>
      </c>
      <c r="H100" s="18" t="n">
        <v>1286653661.14</v>
      </c>
      <c r="I100" s="18" t="n">
        <v>565130532.96</v>
      </c>
    </row>
    <row r="101">
      <c r="A101" s="19" t="inlineStr">
        <is>
          <t>2026-04-10</t>
        </is>
      </c>
      <c r="B101" s="20" t="n">
        <v>649352427.76</v>
      </c>
      <c r="C101" s="20" t="n">
        <v>583282777.8</v>
      </c>
      <c r="D101" s="20" t="n">
        <v>9866325.8496</v>
      </c>
      <c r="E101" s="20" t="n">
        <v>649352427.76</v>
      </c>
      <c r="F101" s="20" t="n">
        <v>36526074.08</v>
      </c>
      <c r="G101" s="20" t="n">
        <v>5808457.4662</v>
      </c>
      <c r="H101" s="20" t="n">
        <v>1462182673.44</v>
      </c>
      <c r="I101" s="20" t="n">
        <v>668432806.11</v>
      </c>
    </row>
    <row r="102">
      <c r="A102" s="17" t="inlineStr">
        <is>
          <t>2026-04-11</t>
        </is>
      </c>
      <c r="B102" s="18" t="n">
        <v>0</v>
      </c>
      <c r="C102" s="18" t="n">
        <v>0</v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2233333669.68</v>
      </c>
      <c r="I102" s="18" t="n">
        <v>1396206558.81</v>
      </c>
    </row>
    <row r="103">
      <c r="A103" s="19" t="inlineStr">
        <is>
          <t>2026-04-12</t>
        </is>
      </c>
      <c r="B103" s="20" t="n">
        <v>0</v>
      </c>
      <c r="C103" s="20" t="n">
        <v>0</v>
      </c>
      <c r="D103" s="20" t="n">
        <v>0</v>
      </c>
      <c r="E103" s="20" t="n">
        <v>0</v>
      </c>
      <c r="F103" s="20" t="n">
        <v>0</v>
      </c>
      <c r="G103" s="20" t="n">
        <v>0</v>
      </c>
      <c r="H103" s="20" t="n">
        <v>3043735611.85</v>
      </c>
      <c r="I103" s="20" t="n">
        <v>2161023391.72</v>
      </c>
    </row>
    <row r="104">
      <c r="A104" s="17" t="inlineStr">
        <is>
          <t>2026-04-13</t>
        </is>
      </c>
      <c r="B104" s="18" t="n">
        <v>2217554545.95</v>
      </c>
      <c r="C104" s="18" t="n">
        <v>2102032400.76</v>
      </c>
      <c r="D104" s="18" t="n">
        <v>35651018.3326</v>
      </c>
      <c r="E104" s="18" t="n">
        <v>2217554545.95</v>
      </c>
      <c r="F104" s="18" t="n">
        <v>124737443.26</v>
      </c>
      <c r="G104" s="18" t="n">
        <v>19836025.4165</v>
      </c>
      <c r="H104" s="18" t="n">
        <v>1535290459.61</v>
      </c>
      <c r="I104" s="18" t="n">
        <v>628404254.85</v>
      </c>
    </row>
    <row r="105">
      <c r="A105" s="19" t="inlineStr">
        <is>
          <t>2026-04-14</t>
        </is>
      </c>
      <c r="B105" s="20" t="n">
        <v>672421490.3099999</v>
      </c>
      <c r="C105" s="20" t="n">
        <v>793291026.49</v>
      </c>
      <c r="D105" s="20" t="n">
        <v>13610621.573</v>
      </c>
      <c r="E105" s="20" t="n">
        <v>672421490.3099999</v>
      </c>
      <c r="F105" s="20" t="n">
        <v>37823708.82</v>
      </c>
      <c r="G105" s="20" t="n">
        <v>6014810.2319</v>
      </c>
      <c r="H105" s="20" t="n">
        <v>1355274713.35</v>
      </c>
      <c r="I105" s="20" t="n">
        <v>572585019.09</v>
      </c>
    </row>
    <row r="106">
      <c r="A106" s="17" t="inlineStr">
        <is>
          <t>2026-04-15</t>
        </is>
      </c>
      <c r="B106" s="18" t="n">
        <v>596685803.5</v>
      </c>
      <c r="C106" s="18" t="n">
        <v>641773198.4400001</v>
      </c>
      <c r="D106" s="18" t="n">
        <v>10826031.384</v>
      </c>
      <c r="E106" s="18" t="n">
        <v>596685803.5</v>
      </c>
      <c r="F106" s="18" t="n">
        <v>33563576.41</v>
      </c>
      <c r="G106" s="18" t="n">
        <v>5337354.5138</v>
      </c>
      <c r="H106" s="18" t="n">
        <v>1296696396.67</v>
      </c>
      <c r="I106" s="18" t="n">
        <v>559852961.73</v>
      </c>
    </row>
    <row r="107">
      <c r="A107" s="19" t="inlineStr">
        <is>
          <t>2026-04-16</t>
        </is>
      </c>
      <c r="B107" s="20" t="n">
        <v>597590761.98</v>
      </c>
      <c r="C107" s="20" t="n">
        <v>607871770</v>
      </c>
      <c r="D107" s="20" t="n">
        <v>10343712.876</v>
      </c>
      <c r="E107" s="20" t="n">
        <v>597590761.98</v>
      </c>
      <c r="F107" s="20" t="n">
        <v>33614480.34</v>
      </c>
      <c r="G107" s="20" t="n">
        <v>5345449.367</v>
      </c>
      <c r="H107" s="20" t="n">
        <v>1285126750.63</v>
      </c>
      <c r="I107" s="20" t="n">
        <v>558636809.5599999</v>
      </c>
    </row>
    <row r="108">
      <c r="A108" s="17" t="inlineStr">
        <is>
          <t>2026-04-17</t>
        </is>
      </c>
      <c r="B108" s="18" t="n">
        <v>645755496.54</v>
      </c>
      <c r="C108" s="18" t="n">
        <v>591951532.59</v>
      </c>
      <c r="D108" s="18" t="n">
        <v>10008657.8412</v>
      </c>
      <c r="E108" s="18" t="n">
        <v>645755496.54</v>
      </c>
      <c r="F108" s="18" t="n">
        <v>36323746.68</v>
      </c>
      <c r="G108" s="18" t="n">
        <v>5776282.9171</v>
      </c>
      <c r="H108" s="18" t="n">
        <v>1450944701.96</v>
      </c>
      <c r="I108" s="18" t="n">
        <v>664350010.1</v>
      </c>
    </row>
    <row r="109">
      <c r="A109" s="19" t="inlineStr">
        <is>
          <t>2026-04-18</t>
        </is>
      </c>
      <c r="B109" s="20" t="n">
        <v>0</v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2223011327.98</v>
      </c>
      <c r="I109" s="20" t="n">
        <v>1392987888.43</v>
      </c>
    </row>
    <row r="110">
      <c r="A110" s="17" t="inlineStr">
        <is>
          <t>2026-04-19</t>
        </is>
      </c>
      <c r="B110" s="18" t="n">
        <v>0</v>
      </c>
      <c r="C110" s="18" t="n">
        <v>0</v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3022674538.4</v>
      </c>
      <c r="I110" s="18" t="n">
        <v>2147670043.28</v>
      </c>
    </row>
    <row r="111">
      <c r="A111" s="19" t="inlineStr">
        <is>
          <t>2026-04-20</t>
        </is>
      </c>
      <c r="B111" s="20" t="n">
        <v>2198758541.03</v>
      </c>
      <c r="C111" s="20" t="n">
        <v>2090832280.88</v>
      </c>
      <c r="D111" s="20" t="n">
        <v>35464455.0758</v>
      </c>
      <c r="E111" s="20" t="n">
        <v>2198758541.03</v>
      </c>
      <c r="F111" s="20" t="n">
        <v>123680167.95</v>
      </c>
      <c r="G111" s="20" t="n">
        <v>19667895.151</v>
      </c>
      <c r="H111" s="20" t="n">
        <v>1500750489.9</v>
      </c>
      <c r="I111" s="20" t="n">
        <v>609498814.47</v>
      </c>
    </row>
    <row r="112">
      <c r="A112" s="17" t="inlineStr">
        <is>
          <t>2026-04-21</t>
        </is>
      </c>
      <c r="B112" s="18" t="n">
        <v>658797022.8</v>
      </c>
      <c r="C112" s="18" t="n">
        <v>784750876.74</v>
      </c>
      <c r="D112" s="18" t="n">
        <v>13467585.33</v>
      </c>
      <c r="E112" s="18" t="n">
        <v>658797022.8</v>
      </c>
      <c r="F112" s="18" t="n">
        <v>37057332.55</v>
      </c>
      <c r="G112" s="18" t="n">
        <v>5892939.3698</v>
      </c>
      <c r="H112" s="18" t="n">
        <v>1323819238.74</v>
      </c>
      <c r="I112" s="18" t="n">
        <v>561388895.83</v>
      </c>
    </row>
    <row r="113">
      <c r="A113" s="19" t="inlineStr">
        <is>
          <t>2026-04-22</t>
        </is>
      </c>
      <c r="B113" s="20" t="n">
        <v>593669032.9299999</v>
      </c>
      <c r="C113" s="20" t="n">
        <v>621195379.36</v>
      </c>
      <c r="D113" s="20" t="n">
        <v>10456547.304</v>
      </c>
      <c r="E113" s="20" t="n">
        <v>593669032.9299999</v>
      </c>
      <c r="F113" s="20" t="n">
        <v>33393883.13</v>
      </c>
      <c r="G113" s="20" t="n">
        <v>5310369.5006</v>
      </c>
      <c r="H113" s="20" t="n">
        <v>1306903100.22</v>
      </c>
      <c r="I113" s="20" t="n">
        <v>571402279.5599999</v>
      </c>
    </row>
    <row r="114">
      <c r="A114" s="17" t="inlineStr">
        <is>
          <t>2026-04-23</t>
        </is>
      </c>
      <c r="B114" s="18" t="n">
        <v>600468055.75</v>
      </c>
      <c r="C114" s="18" t="n">
        <v>598967764.38</v>
      </c>
      <c r="D114" s="18" t="n">
        <v>10186524.4848</v>
      </c>
      <c r="E114" s="18" t="n">
        <v>600468055.75</v>
      </c>
      <c r="F114" s="18" t="n">
        <v>33776328.16</v>
      </c>
      <c r="G114" s="18" t="n">
        <v>5371186.7599</v>
      </c>
      <c r="H114" s="18" t="n">
        <v>1297240636.64</v>
      </c>
      <c r="I114" s="18" t="n">
        <v>560867429.5700001</v>
      </c>
    </row>
    <row r="115">
      <c r="A115" s="19" t="inlineStr">
        <is>
          <t>2026-04-24</t>
        </is>
      </c>
      <c r="B115" s="20" t="n">
        <v>646582262.62</v>
      </c>
      <c r="C115" s="20" t="n">
        <v>606027737.28</v>
      </c>
      <c r="D115" s="20" t="n">
        <v>10273360.8276</v>
      </c>
      <c r="E115" s="20" t="n">
        <v>646582262.62</v>
      </c>
      <c r="F115" s="20" t="n">
        <v>36370252.3</v>
      </c>
      <c r="G115" s="20" t="n">
        <v>5783678.3401</v>
      </c>
      <c r="H115" s="20" t="n">
        <v>1437375145.57</v>
      </c>
      <c r="I115" s="20" t="n">
        <v>654846039.0700001</v>
      </c>
    </row>
    <row r="116">
      <c r="A116" s="17" t="inlineStr">
        <is>
          <t>2026-04-25</t>
        </is>
      </c>
      <c r="B116" s="18" t="n">
        <v>0</v>
      </c>
      <c r="C116" s="18" t="n">
        <v>0</v>
      </c>
      <c r="D116" s="18" t="n">
        <v>0</v>
      </c>
      <c r="E116" s="18" t="n">
        <v>0</v>
      </c>
      <c r="F116" s="18" t="n">
        <v>0</v>
      </c>
      <c r="G116" s="18" t="n">
        <v>0</v>
      </c>
      <c r="H116" s="18" t="n">
        <v>2219062976.05</v>
      </c>
      <c r="I116" s="18" t="n">
        <v>1392563929.06</v>
      </c>
    </row>
    <row r="117">
      <c r="A117" s="19" t="inlineStr">
        <is>
          <t>2026-04-26</t>
        </is>
      </c>
      <c r="B117" s="20" t="n">
        <v>0</v>
      </c>
      <c r="C117" s="20" t="n">
        <v>0</v>
      </c>
      <c r="D117" s="20" t="n">
        <v>0</v>
      </c>
      <c r="E117" s="20" t="n">
        <v>0</v>
      </c>
      <c r="F117" s="20" t="n">
        <v>0</v>
      </c>
      <c r="G117" s="20" t="n">
        <v>0</v>
      </c>
      <c r="H117" s="20" t="n">
        <v>2986672846.66</v>
      </c>
      <c r="I117" s="20" t="n">
        <v>2116995744.43</v>
      </c>
    </row>
    <row r="118">
      <c r="A118" s="17" t="inlineStr">
        <is>
          <t>2026-04-27</t>
        </is>
      </c>
      <c r="B118" s="18" t="n">
        <v>2188700399.22</v>
      </c>
      <c r="C118" s="18" t="n">
        <v>2083837929.85</v>
      </c>
      <c r="D118" s="18" t="n">
        <v>35350074.3418</v>
      </c>
      <c r="E118" s="18" t="n">
        <v>2188700399.22</v>
      </c>
      <c r="F118" s="18" t="n">
        <v>123114397.54</v>
      </c>
      <c r="G118" s="18" t="n">
        <v>19577925.0674</v>
      </c>
      <c r="H118" s="18" t="n">
        <v>1507023088.61</v>
      </c>
      <c r="I118" s="18" t="n">
        <v>621612329.87</v>
      </c>
    </row>
    <row r="119">
      <c r="A119" s="19" t="inlineStr">
        <is>
          <t>2026-04-28</t>
        </is>
      </c>
      <c r="B119" s="20" t="n">
        <v>657397127</v>
      </c>
      <c r="C119" s="20" t="n">
        <v>764132205.48</v>
      </c>
      <c r="D119" s="20" t="n">
        <v>13070966.3196</v>
      </c>
      <c r="E119" s="20" t="n">
        <v>657397127</v>
      </c>
      <c r="F119" s="20" t="n">
        <v>36978588.4</v>
      </c>
      <c r="G119" s="20" t="n">
        <v>5880417.3009</v>
      </c>
      <c r="H119" s="20" t="n">
        <v>1343284221.75</v>
      </c>
      <c r="I119" s="20" t="n">
        <v>567815004.59</v>
      </c>
    </row>
    <row r="120">
      <c r="A120" s="17" t="inlineStr">
        <is>
          <t>2026-04-29</t>
        </is>
      </c>
      <c r="B120" s="18" t="n">
        <v>611137843.49</v>
      </c>
      <c r="C120" s="18" t="n">
        <v>640273539.05</v>
      </c>
      <c r="D120" s="18" t="n">
        <v>10821304.5508</v>
      </c>
      <c r="E120" s="18" t="n">
        <v>611137843.49</v>
      </c>
      <c r="F120" s="18" t="n">
        <v>34376503.72</v>
      </c>
      <c r="G120" s="18" t="n">
        <v>5466628.0098</v>
      </c>
      <c r="H120" s="18" t="n">
        <v>1331842702.74</v>
      </c>
      <c r="I120" s="18" t="n">
        <v>584513883.6900001</v>
      </c>
    </row>
    <row r="121">
      <c r="A121" s="19" t="inlineStr">
        <is>
          <t>2026-04-30</t>
        </is>
      </c>
      <c r="B121" s="20" t="n">
        <v>608305652.47</v>
      </c>
      <c r="C121" s="20" t="n">
        <v>602034344.98</v>
      </c>
      <c r="D121" s="20" t="n">
        <v>10209392.4224</v>
      </c>
      <c r="E121" s="20" t="n">
        <v>608305652.47</v>
      </c>
      <c r="F121" s="20" t="n">
        <v>34217192.97</v>
      </c>
      <c r="G121" s="20" t="n">
        <v>5441294.0615</v>
      </c>
      <c r="H121" s="20" t="n">
        <v>1325499956.47</v>
      </c>
      <c r="I121" s="20" t="n">
        <v>572609370.46</v>
      </c>
    </row>
    <row r="122">
      <c r="A122" s="17" t="inlineStr">
        <is>
          <t>2026-05-01</t>
        </is>
      </c>
      <c r="B122" s="18" t="n">
        <v>660191259.13</v>
      </c>
      <c r="C122" s="18" t="n">
        <v>622853478.84</v>
      </c>
      <c r="D122" s="18" t="n">
        <v>10579022.3928</v>
      </c>
      <c r="E122" s="18" t="n">
        <v>660191259.13</v>
      </c>
      <c r="F122" s="18" t="n">
        <v>37135758.37</v>
      </c>
      <c r="G122" s="18" t="n">
        <v>5905410.8129</v>
      </c>
      <c r="H122" s="18" t="n">
        <v>1458696636.3</v>
      </c>
      <c r="I122" s="18" t="n">
        <v>663076206.87</v>
      </c>
    </row>
    <row r="123">
      <c r="A123" s="19" t="inlineStr">
        <is>
          <t>2026-05-02</t>
        </is>
      </c>
      <c r="B123" s="20" t="n">
        <v>0</v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2242891686.16</v>
      </c>
      <c r="I123" s="20" t="n">
        <v>1403160285.16</v>
      </c>
    </row>
    <row r="124">
      <c r="A124" s="17" t="inlineStr">
        <is>
          <t>2026-05-03</t>
        </is>
      </c>
      <c r="B124" s="18" t="n">
        <v>0</v>
      </c>
      <c r="C124" s="18" t="n">
        <v>0</v>
      </c>
      <c r="D124" s="18" t="n">
        <v>0</v>
      </c>
      <c r="E124" s="18" t="n">
        <v>0</v>
      </c>
      <c r="F124" s="18" t="n">
        <v>0</v>
      </c>
      <c r="G124" s="18" t="n">
        <v>0</v>
      </c>
      <c r="H124" s="18" t="n">
        <v>3028039608.56</v>
      </c>
      <c r="I124" s="18" t="n">
        <v>2144143636.87</v>
      </c>
    </row>
    <row r="125">
      <c r="A125" s="19" t="inlineStr">
        <is>
          <t>2026-05-04</t>
        </is>
      </c>
      <c r="B125" s="20" t="n">
        <v>2218379428.92</v>
      </c>
      <c r="C125" s="20" t="n">
        <v>2108019345.92</v>
      </c>
      <c r="D125" s="20" t="n">
        <v>35745704.259</v>
      </c>
      <c r="E125" s="20" t="n">
        <v>2218379428.92</v>
      </c>
      <c r="F125" s="20" t="n">
        <v>124783842.98</v>
      </c>
      <c r="G125" s="20" t="n">
        <v>19843403.9962</v>
      </c>
      <c r="H125" s="20" t="n">
        <v>1544485638.99</v>
      </c>
      <c r="I125" s="20" t="n">
        <v>639887249.85</v>
      </c>
    </row>
    <row r="126">
      <c r="A126" s="17" t="inlineStr">
        <is>
          <t>2026-05-05</t>
        </is>
      </c>
      <c r="B126" s="18" t="n">
        <v>674881767.0700001</v>
      </c>
      <c r="C126" s="18" t="n">
        <v>778416654.72</v>
      </c>
      <c r="D126" s="18" t="n">
        <v>13317191.7264</v>
      </c>
      <c r="E126" s="18" t="n">
        <v>674881767.0700001</v>
      </c>
      <c r="F126" s="18" t="n">
        <v>37962099.41</v>
      </c>
      <c r="G126" s="18" t="n">
        <v>6036817.4065</v>
      </c>
      <c r="H126" s="18" t="n">
        <v>1381100986.7</v>
      </c>
      <c r="I126" s="18" t="n">
        <v>583404034.53</v>
      </c>
    </row>
    <row r="127">
      <c r="A127" s="19" t="inlineStr">
        <is>
          <t>2026-05-06</t>
        </is>
      </c>
      <c r="B127" s="20" t="n">
        <v>615307019.27</v>
      </c>
      <c r="C127" s="20" t="n">
        <v>659352118.3099999</v>
      </c>
      <c r="D127" s="20" t="n">
        <v>11155423.6308</v>
      </c>
      <c r="E127" s="20" t="n">
        <v>615307019.27</v>
      </c>
      <c r="F127" s="20" t="n">
        <v>34611019.84</v>
      </c>
      <c r="G127" s="20" t="n">
        <v>5503921.2879</v>
      </c>
      <c r="H127" s="20" t="n">
        <v>1328172547.45</v>
      </c>
      <c r="I127" s="20" t="n">
        <v>575020382.16</v>
      </c>
    </row>
    <row r="128">
      <c r="A128" s="17" t="inlineStr">
        <is>
          <t>2026-05-07</t>
        </is>
      </c>
      <c r="B128" s="18" t="n">
        <v>615931711.1799999</v>
      </c>
      <c r="C128" s="18" t="n">
        <v>616962169.47</v>
      </c>
      <c r="D128" s="18" t="n">
        <v>10475290.7814</v>
      </c>
      <c r="E128" s="18" t="n">
        <v>615931711.1799999</v>
      </c>
      <c r="F128" s="18" t="n">
        <v>34646158.77</v>
      </c>
      <c r="G128" s="18" t="n">
        <v>5509509.1566</v>
      </c>
      <c r="H128" s="18" t="n">
        <v>1337549830.02</v>
      </c>
      <c r="I128" s="18" t="n">
        <v>584842687.5700001</v>
      </c>
    </row>
    <row r="129">
      <c r="A129" s="19" t="inlineStr">
        <is>
          <t>2026-05-08</t>
        </is>
      </c>
      <c r="B129" s="20" t="n">
        <v>661648691.89</v>
      </c>
      <c r="C129" s="20" t="n">
        <v>610372576.0599999</v>
      </c>
      <c r="D129" s="20" t="n">
        <v>10329339.2432</v>
      </c>
      <c r="E129" s="20" t="n">
        <v>661648691.89</v>
      </c>
      <c r="F129" s="20" t="n">
        <v>37217738.95</v>
      </c>
      <c r="G129" s="20" t="n">
        <v>5918447.5497</v>
      </c>
      <c r="H129" s="20" t="n">
        <v>1479360198.49</v>
      </c>
      <c r="I129" s="20" t="n">
        <v>670284388.53</v>
      </c>
    </row>
    <row r="130">
      <c r="A130" s="17" t="inlineStr">
        <is>
          <t>2026-05-09</t>
        </is>
      </c>
      <c r="B130" s="18" t="n">
        <v>0</v>
      </c>
      <c r="C130" s="18" t="n">
        <v>0</v>
      </c>
      <c r="D130" s="18" t="n">
        <v>0</v>
      </c>
      <c r="E130" s="18" t="n">
        <v>0</v>
      </c>
      <c r="F130" s="18" t="n">
        <v>0</v>
      </c>
      <c r="G130" s="18" t="n">
        <v>0</v>
      </c>
      <c r="H130" s="18" t="n">
        <v>2244390012.62</v>
      </c>
      <c r="I130" s="18" t="n">
        <v>1392281275.62</v>
      </c>
    </row>
    <row r="131">
      <c r="A131" s="19" t="inlineStr">
        <is>
          <t>2026-05-10</t>
        </is>
      </c>
      <c r="B131" s="20" t="n">
        <v>0</v>
      </c>
      <c r="C131" s="20" t="n">
        <v>0</v>
      </c>
      <c r="D131" s="20" t="n">
        <v>0</v>
      </c>
      <c r="E131" s="20" t="n">
        <v>0</v>
      </c>
      <c r="F131" s="20" t="n">
        <v>0</v>
      </c>
      <c r="G131" s="20" t="n">
        <v>0</v>
      </c>
      <c r="H131" s="20" t="n">
        <v>3002708135.59</v>
      </c>
      <c r="I131" s="20" t="n">
        <v>2107944004.16</v>
      </c>
    </row>
    <row r="132">
      <c r="A132" s="17" t="inlineStr">
        <is>
          <t>2026-05-11</t>
        </is>
      </c>
      <c r="B132" s="18" t="n">
        <v>2178471484.32</v>
      </c>
      <c r="C132" s="18" t="n">
        <v>2112346012.58</v>
      </c>
      <c r="D132" s="18" t="n">
        <v>35859557.9459</v>
      </c>
      <c r="E132" s="18" t="n">
        <v>2178471484.32</v>
      </c>
      <c r="F132" s="18" t="n">
        <v>122539021.02</v>
      </c>
      <c r="G132" s="18" t="n">
        <v>19486427.4287</v>
      </c>
      <c r="H132" s="18" t="n">
        <v>1483345546.55</v>
      </c>
      <c r="I132" s="18" t="n">
        <v>611639646.8</v>
      </c>
    </row>
    <row r="133">
      <c r="A133" s="19" t="inlineStr">
        <is>
          <t>2026-05-12</t>
        </is>
      </c>
      <c r="B133" s="20" t="n">
        <v>642173731.9400001</v>
      </c>
      <c r="C133" s="20" t="n">
        <v>753003669.41</v>
      </c>
      <c r="D133" s="20" t="n">
        <v>12887578.879</v>
      </c>
      <c r="E133" s="20" t="n">
        <v>642173731.9400001</v>
      </c>
      <c r="F133" s="20" t="n">
        <v>36122272.44</v>
      </c>
      <c r="G133" s="20" t="n">
        <v>5744244.0334</v>
      </c>
      <c r="H133" s="20" t="n">
        <v>1305561526.48</v>
      </c>
      <c r="I133" s="20" t="n">
        <v>548451731.35</v>
      </c>
    </row>
    <row r="134">
      <c r="A134" s="17" t="inlineStr">
        <is>
          <t>2026-05-13</t>
        </is>
      </c>
      <c r="B134" s="18" t="n">
        <v>593211929.98</v>
      </c>
      <c r="C134" s="18" t="n">
        <v>629008637.04</v>
      </c>
      <c r="D134" s="18" t="n">
        <v>10636728.5652</v>
      </c>
      <c r="E134" s="18" t="n">
        <v>593211929.98</v>
      </c>
      <c r="F134" s="18" t="n">
        <v>33368171.06</v>
      </c>
      <c r="G134" s="18" t="n">
        <v>5306280.715</v>
      </c>
      <c r="H134" s="18" t="n">
        <v>1287985606.48</v>
      </c>
      <c r="I134" s="18" t="n">
        <v>565647599.1799999</v>
      </c>
    </row>
    <row r="135">
      <c r="A135" s="19" t="inlineStr">
        <is>
          <t>2026-05-14</t>
        </is>
      </c>
      <c r="B135" s="20" t="n">
        <v>594217452.61</v>
      </c>
      <c r="C135" s="20" t="n">
        <v>580421875.02</v>
      </c>
      <c r="D135" s="20" t="n">
        <v>9830717.616</v>
      </c>
      <c r="E135" s="20" t="n">
        <v>594217452.61</v>
      </c>
      <c r="F135" s="20" t="n">
        <v>33424731.7</v>
      </c>
      <c r="G135" s="20" t="n">
        <v>5315275.1139</v>
      </c>
      <c r="H135" s="20" t="n">
        <v>1303563722.91</v>
      </c>
      <c r="I135" s="20" t="n">
        <v>567329870.2</v>
      </c>
    </row>
    <row r="136">
      <c r="A136" s="17" t="inlineStr">
        <is>
          <t>2026-05-15</t>
        </is>
      </c>
      <c r="B136" s="18" t="n">
        <v>651005280.39</v>
      </c>
      <c r="C136" s="18" t="n">
        <v>604344364.73</v>
      </c>
      <c r="D136" s="18" t="n">
        <v>10257970.1256</v>
      </c>
      <c r="E136" s="18" t="n">
        <v>651005280.39</v>
      </c>
      <c r="F136" s="18" t="n">
        <v>36619047.02</v>
      </c>
      <c r="G136" s="18" t="n">
        <v>5823242.2324</v>
      </c>
      <c r="H136" s="18" t="n">
        <v>1444802490.89</v>
      </c>
      <c r="I136" s="18" t="n">
        <v>656587718.29</v>
      </c>
    </row>
    <row r="137">
      <c r="A137" s="19" t="inlineStr">
        <is>
          <t>2026-05-16</t>
        </is>
      </c>
      <c r="B137" s="20" t="n">
        <v>0</v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2201037940.39</v>
      </c>
      <c r="I137" s="20" t="n">
        <v>1370284923.72</v>
      </c>
    </row>
    <row r="138">
      <c r="A138" s="17" t="inlineStr">
        <is>
          <t>2026-05-17</t>
        </is>
      </c>
      <c r="B138" s="18" t="n">
        <v>0</v>
      </c>
      <c r="C138" s="18" t="n">
        <v>0</v>
      </c>
      <c r="D138" s="18" t="n">
        <v>0</v>
      </c>
      <c r="E138" s="18" t="n">
        <v>0</v>
      </c>
      <c r="F138" s="18" t="n">
        <v>0</v>
      </c>
      <c r="G138" s="18" t="n">
        <v>0</v>
      </c>
      <c r="H138" s="18" t="n">
        <v>2988374164.42</v>
      </c>
      <c r="I138" s="18" t="n">
        <v>2113333485.15</v>
      </c>
    </row>
    <row r="139">
      <c r="A139" s="19" t="inlineStr">
        <is>
          <t>2026-05-18</t>
        </is>
      </c>
      <c r="B139" s="20" t="n">
        <v>2181877110.56</v>
      </c>
      <c r="C139" s="20" t="n">
        <v>2072310453.29</v>
      </c>
      <c r="D139" s="20" t="n">
        <v>35134926.547</v>
      </c>
      <c r="E139" s="20" t="n">
        <v>2181877110.56</v>
      </c>
      <c r="F139" s="20" t="n">
        <v>122730587.54</v>
      </c>
      <c r="G139" s="20" t="n">
        <v>19516890.7557</v>
      </c>
      <c r="H139" s="20" t="n">
        <v>1531149989.35</v>
      </c>
      <c r="I139" s="20" t="n">
        <v>634674637.16</v>
      </c>
    </row>
    <row r="140">
      <c r="A140" s="17" t="inlineStr">
        <is>
          <t>2026-05-19</t>
        </is>
      </c>
      <c r="B140" s="18" t="n">
        <v>679454552.76</v>
      </c>
      <c r="C140" s="18" t="n">
        <v>773812604.5700001</v>
      </c>
      <c r="D140" s="18" t="n">
        <v>13250133.4722</v>
      </c>
      <c r="E140" s="18" t="n">
        <v>679454552.76</v>
      </c>
      <c r="F140" s="18" t="n">
        <v>38219318.62</v>
      </c>
      <c r="G140" s="18" t="n">
        <v>6077720.974</v>
      </c>
      <c r="H140" s="18" t="n">
        <v>1393278540.83</v>
      </c>
      <c r="I140" s="18" t="n">
        <v>593608869</v>
      </c>
    </row>
    <row r="141">
      <c r="A141" s="19" t="inlineStr">
        <is>
          <t>2026-05-20</t>
        </is>
      </c>
      <c r="B141" s="20" t="n">
        <v>634492319.5599999</v>
      </c>
      <c r="C141" s="20" t="n">
        <v>653980545.01</v>
      </c>
      <c r="D141" s="20" t="n">
        <v>11038329.7408</v>
      </c>
      <c r="E141" s="20" t="n">
        <v>634492319.5599999</v>
      </c>
      <c r="F141" s="20" t="n">
        <v>35690193.02</v>
      </c>
      <c r="G141" s="20" t="n">
        <v>5675533.7984</v>
      </c>
      <c r="H141" s="20" t="n">
        <v>1391747520.21</v>
      </c>
      <c r="I141" s="20" t="n">
        <v>610555981.05</v>
      </c>
    </row>
    <row r="142">
      <c r="A142" s="17" t="inlineStr">
        <is>
          <t>2026-05-21</t>
        </is>
      </c>
      <c r="B142" s="18" t="n">
        <v>631950016.74</v>
      </c>
      <c r="C142" s="18" t="n">
        <v>631563516.12</v>
      </c>
      <c r="D142" s="18" t="n">
        <v>10727245.7352</v>
      </c>
      <c r="E142" s="18" t="n">
        <v>631950016.74</v>
      </c>
      <c r="F142" s="18" t="n">
        <v>35547188.47</v>
      </c>
      <c r="G142" s="18" t="n">
        <v>5652792.9011</v>
      </c>
      <c r="H142" s="18" t="n">
        <v>1367643373.89</v>
      </c>
      <c r="I142" s="18" t="n">
        <v>587442933.04</v>
      </c>
    </row>
    <row r="143">
      <c r="A143" s="19" t="inlineStr">
        <is>
          <t>2026-05-22</t>
        </is>
      </c>
      <c r="B143" s="20" t="n">
        <v>672251234.0599999</v>
      </c>
      <c r="C143" s="20" t="n">
        <v>648511931.61</v>
      </c>
      <c r="D143" s="20" t="n">
        <v>11020148.6796</v>
      </c>
      <c r="E143" s="20" t="n">
        <v>672251234.0599999</v>
      </c>
      <c r="F143" s="20" t="n">
        <v>37814131.93</v>
      </c>
      <c r="G143" s="20" t="n">
        <v>6013287.291</v>
      </c>
      <c r="H143" s="20" t="n">
        <v>1475976250.27</v>
      </c>
      <c r="I143" s="20" t="n">
        <v>667278118.45</v>
      </c>
    </row>
    <row r="144">
      <c r="A144" s="17" t="inlineStr">
        <is>
          <t>2026-05-23</t>
        </is>
      </c>
      <c r="B144" s="18" t="n">
        <v>0</v>
      </c>
      <c r="C144" s="18" t="n">
        <v>0</v>
      </c>
      <c r="D144" s="18" t="n">
        <v>0</v>
      </c>
      <c r="E144" s="18" t="n">
        <v>0</v>
      </c>
      <c r="F144" s="18" t="n">
        <v>0</v>
      </c>
      <c r="G144" s="18" t="n">
        <v>0</v>
      </c>
      <c r="H144" s="18" t="n">
        <v>2206086367.3</v>
      </c>
      <c r="I144" s="18" t="n">
        <v>1356319541.41</v>
      </c>
    </row>
    <row r="145">
      <c r="A145" s="19" t="inlineStr">
        <is>
          <t>2026-05-24</t>
        </is>
      </c>
      <c r="B145" s="20" t="n">
        <v>0</v>
      </c>
      <c r="C145" s="20" t="n">
        <v>0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2992350815.52</v>
      </c>
      <c r="I145" s="20" t="n">
        <v>2098356614.43</v>
      </c>
    </row>
    <row r="146">
      <c r="A146" s="17" t="inlineStr">
        <is>
          <t>2026-05-25</t>
        </is>
      </c>
      <c r="B146" s="18" t="n">
        <v>0</v>
      </c>
      <c r="C146" s="18" t="n">
        <v>0</v>
      </c>
      <c r="D146" s="18" t="n">
        <v>0</v>
      </c>
      <c r="E146" s="18" t="n">
        <v>0</v>
      </c>
      <c r="F146" s="18" t="n">
        <v>0</v>
      </c>
      <c r="G146" s="18" t="n">
        <v>0</v>
      </c>
      <c r="H146" s="18" t="n">
        <v>3577717875.8</v>
      </c>
      <c r="I146" s="18" t="n">
        <v>2650796777.54</v>
      </c>
    </row>
    <row r="147">
      <c r="A147" s="19" t="inlineStr">
        <is>
          <t>2026-05-26</t>
        </is>
      </c>
      <c r="B147" s="20" t="n">
        <v>2811176790.48</v>
      </c>
      <c r="C147" s="20" t="n">
        <v>2848712555.02</v>
      </c>
      <c r="D147" s="20" t="n">
        <v>48450412.0446</v>
      </c>
      <c r="E147" s="20" t="n">
        <v>2811176790.48</v>
      </c>
      <c r="F147" s="20" t="n">
        <v>158128694.44</v>
      </c>
      <c r="G147" s="20" t="n">
        <v>25145976.396</v>
      </c>
      <c r="H147" s="20" t="n">
        <v>1321528890.1</v>
      </c>
      <c r="I147" s="20" t="n">
        <v>556942800.09</v>
      </c>
    </row>
    <row r="148">
      <c r="A148" s="17" t="inlineStr">
        <is>
          <t>2026-05-27</t>
        </is>
      </c>
      <c r="B148" s="18" t="n">
        <v>588957629.0700001</v>
      </c>
      <c r="C148" s="18" t="n">
        <v>629815332.86</v>
      </c>
      <c r="D148" s="18" t="n">
        <v>10631085.24</v>
      </c>
      <c r="E148" s="18" t="n">
        <v>588957629.0700001</v>
      </c>
      <c r="F148" s="18" t="n">
        <v>33128866.62</v>
      </c>
      <c r="G148" s="18" t="n">
        <v>5268225.9919</v>
      </c>
      <c r="H148" s="18" t="n">
        <v>1280695814.86</v>
      </c>
      <c r="I148" s="18" t="n">
        <v>556966043.3</v>
      </c>
    </row>
    <row r="149">
      <c r="A149" s="19" t="inlineStr">
        <is>
          <t>2026-05-28</t>
        </is>
      </c>
      <c r="B149" s="20" t="n">
        <v>592990530.33</v>
      </c>
      <c r="C149" s="20" t="n">
        <v>590892319.9</v>
      </c>
      <c r="D149" s="20" t="n">
        <v>10036268.7588</v>
      </c>
      <c r="E149" s="20" t="n">
        <v>592990530.33</v>
      </c>
      <c r="F149" s="20" t="n">
        <v>33355717.31</v>
      </c>
      <c r="G149" s="20" t="n">
        <v>5304300.2941</v>
      </c>
      <c r="H149" s="20" t="n">
        <v>1287269259</v>
      </c>
      <c r="I149" s="20" t="n">
        <v>561189545.08</v>
      </c>
    </row>
    <row r="150">
      <c r="A150" s="17" t="inlineStr">
        <is>
          <t>2026-05-29</t>
        </is>
      </c>
      <c r="B150" s="18" t="n">
        <v>663797319.6799999</v>
      </c>
      <c r="C150" s="18" t="n">
        <v>592175468.16</v>
      </c>
      <c r="D150" s="18" t="n">
        <v>10015769.4732</v>
      </c>
      <c r="E150" s="18" t="n">
        <v>663797319.6799999</v>
      </c>
      <c r="F150" s="18" t="n">
        <v>37338599.21</v>
      </c>
      <c r="G150" s="18" t="n">
        <v>5937667.0252</v>
      </c>
      <c r="H150" s="18" t="n">
        <v>1500037728.24</v>
      </c>
      <c r="I150" s="18" t="n">
        <v>694396665.58</v>
      </c>
    </row>
    <row r="151">
      <c r="A151" s="19" t="inlineStr">
        <is>
          <t>2026-05-30</t>
        </is>
      </c>
      <c r="B151" s="20" t="n">
        <v>0</v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2283712664.72</v>
      </c>
      <c r="I151" s="20" t="n">
        <v>1433989886.88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25" customWidth="1" min="3" max="3"/>
    <col width="46" customWidth="1" min="4" max="4"/>
    <col width="35" customWidth="1" min="5" max="5"/>
    <col width="29" customWidth="1" min="6" max="6"/>
    <col width="24" customWidth="1" min="7" max="7"/>
    <col width="48" customWidth="1" min="8" max="8"/>
    <col width="25" customWidth="1" min="9" max="9"/>
    <col width="19" customWidth="1" min="10" max="10"/>
    <col width="125" customWidth="1" min="11" max="11"/>
    <col width="160" customWidth="1" min="12" max="12"/>
    <col width="58" customWidth="1" min="13" max="13"/>
    <col width="56" customWidth="1" min="14" max="14"/>
    <col width="24" customWidth="1" min="15" max="15"/>
    <col width="33" customWidth="1" min="16" max="16"/>
    <col width="27" customWidth="1" min="17" max="17"/>
    <col width="63" customWidth="1" min="18" max="18"/>
  </cols>
  <sheetData>
    <row r="1" ht="28" customHeight="1">
      <c r="A1" s="11" t="inlineStr">
        <is>
          <t>Ledger Date</t>
        </is>
      </c>
      <c r="B1" s="11" t="inlineStr">
        <is>
          <t>Safeguarded Open Cash</t>
        </is>
      </c>
      <c r="C1" s="11" t="inlineStr">
        <is>
          <t>Inbound Settlements</t>
        </is>
      </c>
      <c r="D1" s="11" t="inlineStr">
        <is>
          <t>Outbound Payouts (Net)</t>
        </is>
      </c>
      <c r="E1" s="11" t="inlineStr">
        <is>
          <t>Net Operating Float</t>
        </is>
      </c>
      <c r="F1" s="11" t="inlineStr">
        <is>
          <t>Corp Subordination Injection</t>
        </is>
      </c>
      <c r="G1" s="11" t="inlineStr">
        <is>
          <t>Safeguarded Closing Cash</t>
        </is>
      </c>
      <c r="H1" s="11" t="inlineStr">
        <is>
          <t>Corporate Opening Cash</t>
        </is>
      </c>
      <c r="I1" s="11" t="inlineStr">
        <is>
          <t>Net Revenue Swept</t>
        </is>
      </c>
      <c r="J1" s="11" t="inlineStr">
        <is>
          <t>Pre-Financing Corp Cash</t>
        </is>
      </c>
      <c r="K1" s="11" t="inlineStr">
        <is>
          <t>Revolver Draw</t>
        </is>
      </c>
      <c r="L1" s="11" t="inlineStr">
        <is>
          <t>Revolver Repay</t>
        </is>
      </c>
      <c r="M1" s="11" t="inlineStr">
        <is>
          <t>Active Debt Balance</t>
        </is>
      </c>
      <c r="N1" s="11" t="inlineStr">
        <is>
          <t>Interest Expense (Act/360)</t>
        </is>
      </c>
      <c r="O1" s="11" t="inlineStr">
        <is>
          <t>Corporate Closing Cash</t>
        </is>
      </c>
      <c r="P1" s="11" t="inlineStr">
        <is>
          <t>Total Available Liquidity</t>
        </is>
      </c>
      <c r="Q1" s="11" t="inlineStr">
        <is>
          <t>Covenant Headroom</t>
        </is>
      </c>
      <c r="R1" s="11" t="inlineStr">
        <is>
          <t>Early Warning Status</t>
        </is>
      </c>
    </row>
    <row r="2">
      <c r="A2" s="17">
        <f>Data_Feed_Daily!A2</f>
        <v/>
      </c>
      <c r="B2" s="18">
        <f>IF(ISNUMBER(G1), G1, Assumptions!$C$14)</f>
        <v/>
      </c>
      <c r="C2" s="18">
        <f>Data_Feed_Daily!C2</f>
        <v/>
      </c>
      <c r="D2" s="18">
        <f>Data_Feed_Daily!E2-Data_Feed_Daily!F2</f>
        <v/>
      </c>
      <c r="E2" s="18">
        <f>C2-D2-Data_Feed_Daily!D2</f>
        <v/>
      </c>
      <c r="F2" s="18">
        <f>MAX(0, D2-(B2+C2))</f>
        <v/>
      </c>
      <c r="G2" s="18">
        <f>B2+C2-D2+F2</f>
        <v/>
      </c>
      <c r="H2" s="18">
        <f>IF(ISNUMBER(O1), O1, Assumptions!$C$13)</f>
        <v/>
      </c>
      <c r="I2" s="18">
        <f>Data_Feed_Daily!G2</f>
        <v/>
      </c>
      <c r="J2" s="18">
        <f>H2+I2-F2</f>
        <v/>
      </c>
      <c r="K2" s="18">
        <f>IF(J2&lt;Assumptions!$C$10, MIN(Assumptions!$C$10-J2, Assumptions!$C$9-IF(ISNUMBER(M1), M1, Assumptions!$C$15)), 0)</f>
        <v/>
      </c>
      <c r="L2" s="18">
        <f>IF(AND(J2&gt;Assumptions!$C$11, IF(ISNUMBER(M1), M1, Assumptions!$C$15)&gt;0), MIN(J2-Assumptions!$C$11, IF(ISNUMBER(M1), M1, Assumptions!$C$15)), 0)</f>
        <v/>
      </c>
      <c r="M2" s="18">
        <f>IF(ISNUMBER(M1), M1, Assumptions!$C$15)+K2-L2</f>
        <v/>
      </c>
      <c r="N2" s="18">
        <f>ROUND(M2*(Assumptions!$C$19/Assumptions!$C$8), 2)</f>
        <v/>
      </c>
      <c r="O2" s="18">
        <f>J2+K2-L2-N2</f>
        <v/>
      </c>
      <c r="P2" s="18">
        <f>O2+(Assumptions!$C$9-M2)</f>
        <v/>
      </c>
      <c r="Q2" s="18">
        <f>P2-Assumptions!$C$10</f>
        <v/>
      </c>
      <c r="R2" s="21">
        <f>IF(Q2&lt;Assumptions!$C$12, "ALERT TRIGGERED", "COMPLIANT")</f>
        <v/>
      </c>
    </row>
    <row r="3">
      <c r="A3" s="19">
        <f>Data_Feed_Daily!A3</f>
        <v/>
      </c>
      <c r="B3" s="20">
        <f>IF(ISNUMBER(G2), G2, Assumptions!$C$14)</f>
        <v/>
      </c>
      <c r="C3" s="20">
        <f>Data_Feed_Daily!C3</f>
        <v/>
      </c>
      <c r="D3" s="20">
        <f>Data_Feed_Daily!E3-Data_Feed_Daily!F3</f>
        <v/>
      </c>
      <c r="E3" s="20">
        <f>C3-D3-Data_Feed_Daily!D3</f>
        <v/>
      </c>
      <c r="F3" s="20">
        <f>MAX(0, D3-(B3+C3))</f>
        <v/>
      </c>
      <c r="G3" s="20">
        <f>B3+C3-D3+F3</f>
        <v/>
      </c>
      <c r="H3" s="20">
        <f>IF(ISNUMBER(O2), O2, Assumptions!$C$13)</f>
        <v/>
      </c>
      <c r="I3" s="20">
        <f>Data_Feed_Daily!G3</f>
        <v/>
      </c>
      <c r="J3" s="20">
        <f>H3+I3-F3</f>
        <v/>
      </c>
      <c r="K3" s="20">
        <f>IF(J3&lt;Assumptions!$C$10, MIN(Assumptions!$C$10-J3, Assumptions!$C$9-IF(ISNUMBER(M2), M2, Assumptions!$C$15)), 0)</f>
        <v/>
      </c>
      <c r="L3" s="20">
        <f>IF(AND(J3&gt;Assumptions!$C$11, IF(ISNUMBER(M2), M2, Assumptions!$C$15)&gt;0), MIN(J3-Assumptions!$C$11, IF(ISNUMBER(M2), M2, Assumptions!$C$15)), 0)</f>
        <v/>
      </c>
      <c r="M3" s="20">
        <f>IF(ISNUMBER(M2), M2, Assumptions!$C$15)+K3-L3</f>
        <v/>
      </c>
      <c r="N3" s="20">
        <f>ROUND(M3*(Assumptions!$C$19/Assumptions!$C$8), 2)</f>
        <v/>
      </c>
      <c r="O3" s="20">
        <f>J3+K3-L3-N3</f>
        <v/>
      </c>
      <c r="P3" s="20">
        <f>O3+(Assumptions!$C$9-M3)</f>
        <v/>
      </c>
      <c r="Q3" s="20">
        <f>P3-Assumptions!$C$10</f>
        <v/>
      </c>
      <c r="R3" s="22">
        <f>IF(Q3&lt;Assumptions!$C$12, "ALERT TRIGGERED", "COMPLIANT")</f>
        <v/>
      </c>
    </row>
    <row r="4">
      <c r="A4" s="17">
        <f>Data_Feed_Daily!A4</f>
        <v/>
      </c>
      <c r="B4" s="18">
        <f>IF(ISNUMBER(G3), G3, Assumptions!$C$14)</f>
        <v/>
      </c>
      <c r="C4" s="18">
        <f>Data_Feed_Daily!C4</f>
        <v/>
      </c>
      <c r="D4" s="18">
        <f>Data_Feed_Daily!E4-Data_Feed_Daily!F4</f>
        <v/>
      </c>
      <c r="E4" s="18">
        <f>C4-D4-Data_Feed_Daily!D4</f>
        <v/>
      </c>
      <c r="F4" s="18">
        <f>MAX(0, D4-(B4+C4))</f>
        <v/>
      </c>
      <c r="G4" s="18">
        <f>B4+C4-D4+F4</f>
        <v/>
      </c>
      <c r="H4" s="18">
        <f>IF(ISNUMBER(O3), O3, Assumptions!$C$13)</f>
        <v/>
      </c>
      <c r="I4" s="18">
        <f>Data_Feed_Daily!G4</f>
        <v/>
      </c>
      <c r="J4" s="18">
        <f>H4+I4-F4</f>
        <v/>
      </c>
      <c r="K4" s="18">
        <f>IF(J4&lt;Assumptions!$C$10, MIN(Assumptions!$C$10-J4, Assumptions!$C$9-IF(ISNUMBER(M3), M3, Assumptions!$C$15)), 0)</f>
        <v/>
      </c>
      <c r="L4" s="18">
        <f>IF(AND(J4&gt;Assumptions!$C$11, IF(ISNUMBER(M3), M3, Assumptions!$C$15)&gt;0), MIN(J4-Assumptions!$C$11, IF(ISNUMBER(M3), M3, Assumptions!$C$15)), 0)</f>
        <v/>
      </c>
      <c r="M4" s="18">
        <f>IF(ISNUMBER(M3), M3, Assumptions!$C$15)+K4-L4</f>
        <v/>
      </c>
      <c r="N4" s="18">
        <f>ROUND(M4*(Assumptions!$C$19/Assumptions!$C$8), 2)</f>
        <v/>
      </c>
      <c r="O4" s="18">
        <f>J4+K4-L4-N4</f>
        <v/>
      </c>
      <c r="P4" s="18">
        <f>O4+(Assumptions!$C$9-M4)</f>
        <v/>
      </c>
      <c r="Q4" s="18">
        <f>P4-Assumptions!$C$10</f>
        <v/>
      </c>
      <c r="R4" s="21">
        <f>IF(Q4&lt;Assumptions!$C$12, "ALERT TRIGGERED", "COMPLIANT")</f>
        <v/>
      </c>
    </row>
    <row r="5">
      <c r="A5" s="19">
        <f>Data_Feed_Daily!A5</f>
        <v/>
      </c>
      <c r="B5" s="20">
        <f>IF(ISNUMBER(G4), G4, Assumptions!$C$14)</f>
        <v/>
      </c>
      <c r="C5" s="20">
        <f>Data_Feed_Daily!C5</f>
        <v/>
      </c>
      <c r="D5" s="20">
        <f>Data_Feed_Daily!E5-Data_Feed_Daily!F5</f>
        <v/>
      </c>
      <c r="E5" s="20">
        <f>C5-D5-Data_Feed_Daily!D5</f>
        <v/>
      </c>
      <c r="F5" s="20">
        <f>MAX(0, D5-(B5+C5))</f>
        <v/>
      </c>
      <c r="G5" s="20">
        <f>B5+C5-D5+F5</f>
        <v/>
      </c>
      <c r="H5" s="20">
        <f>IF(ISNUMBER(O4), O4, Assumptions!$C$13)</f>
        <v/>
      </c>
      <c r="I5" s="20">
        <f>Data_Feed_Daily!G5</f>
        <v/>
      </c>
      <c r="J5" s="20">
        <f>H5+I5-F5</f>
        <v/>
      </c>
      <c r="K5" s="20">
        <f>IF(J5&lt;Assumptions!$C$10, MIN(Assumptions!$C$10-J5, Assumptions!$C$9-IF(ISNUMBER(M4), M4, Assumptions!$C$15)), 0)</f>
        <v/>
      </c>
      <c r="L5" s="20">
        <f>IF(AND(J5&gt;Assumptions!$C$11, IF(ISNUMBER(M4), M4, Assumptions!$C$15)&gt;0), MIN(J5-Assumptions!$C$11, IF(ISNUMBER(M4), M4, Assumptions!$C$15)), 0)</f>
        <v/>
      </c>
      <c r="M5" s="20">
        <f>IF(ISNUMBER(M4), M4, Assumptions!$C$15)+K5-L5</f>
        <v/>
      </c>
      <c r="N5" s="20">
        <f>ROUND(M5*(Assumptions!$C$19/Assumptions!$C$8), 2)</f>
        <v/>
      </c>
      <c r="O5" s="20">
        <f>J5+K5-L5-N5</f>
        <v/>
      </c>
      <c r="P5" s="20">
        <f>O5+(Assumptions!$C$9-M5)</f>
        <v/>
      </c>
      <c r="Q5" s="20">
        <f>P5-Assumptions!$C$10</f>
        <v/>
      </c>
      <c r="R5" s="22">
        <f>IF(Q5&lt;Assumptions!$C$12, "ALERT TRIGGERED", "COMPLIANT")</f>
        <v/>
      </c>
    </row>
    <row r="6">
      <c r="A6" s="17">
        <f>Data_Feed_Daily!A6</f>
        <v/>
      </c>
      <c r="B6" s="18">
        <f>IF(ISNUMBER(G5), G5, Assumptions!$C$14)</f>
        <v/>
      </c>
      <c r="C6" s="18">
        <f>Data_Feed_Daily!C6</f>
        <v/>
      </c>
      <c r="D6" s="18">
        <f>Data_Feed_Daily!E6-Data_Feed_Daily!F6</f>
        <v/>
      </c>
      <c r="E6" s="18">
        <f>C6-D6-Data_Feed_Daily!D6</f>
        <v/>
      </c>
      <c r="F6" s="18">
        <f>MAX(0, D6-(B6+C6))</f>
        <v/>
      </c>
      <c r="G6" s="18">
        <f>B6+C6-D6+F6</f>
        <v/>
      </c>
      <c r="H6" s="18">
        <f>IF(ISNUMBER(O5), O5, Assumptions!$C$13)</f>
        <v/>
      </c>
      <c r="I6" s="18">
        <f>Data_Feed_Daily!G6</f>
        <v/>
      </c>
      <c r="J6" s="18">
        <f>H6+I6-F6</f>
        <v/>
      </c>
      <c r="K6" s="18">
        <f>IF(J6&lt;Assumptions!$C$10, MIN(Assumptions!$C$10-J6, Assumptions!$C$9-IF(ISNUMBER(M5), M5, Assumptions!$C$15)), 0)</f>
        <v/>
      </c>
      <c r="L6" s="18">
        <f>IF(AND(J6&gt;Assumptions!$C$11, IF(ISNUMBER(M5), M5, Assumptions!$C$15)&gt;0), MIN(J6-Assumptions!$C$11, IF(ISNUMBER(M5), M5, Assumptions!$C$15)), 0)</f>
        <v/>
      </c>
      <c r="M6" s="18">
        <f>IF(ISNUMBER(M5), M5, Assumptions!$C$15)+K6-L6</f>
        <v/>
      </c>
      <c r="N6" s="18">
        <f>ROUND(M6*(Assumptions!$C$19/Assumptions!$C$8), 2)</f>
        <v/>
      </c>
      <c r="O6" s="18">
        <f>J6+K6-L6-N6</f>
        <v/>
      </c>
      <c r="P6" s="18">
        <f>O6+(Assumptions!$C$9-M6)</f>
        <v/>
      </c>
      <c r="Q6" s="18">
        <f>P6-Assumptions!$C$10</f>
        <v/>
      </c>
      <c r="R6" s="21">
        <f>IF(Q6&lt;Assumptions!$C$12, "ALERT TRIGGERED", "COMPLIANT")</f>
        <v/>
      </c>
    </row>
    <row r="7">
      <c r="A7" s="19">
        <f>Data_Feed_Daily!A7</f>
        <v/>
      </c>
      <c r="B7" s="20">
        <f>IF(ISNUMBER(G6), G6, Assumptions!$C$14)</f>
        <v/>
      </c>
      <c r="C7" s="20">
        <f>Data_Feed_Daily!C7</f>
        <v/>
      </c>
      <c r="D7" s="20">
        <f>Data_Feed_Daily!E7-Data_Feed_Daily!F7</f>
        <v/>
      </c>
      <c r="E7" s="20">
        <f>C7-D7-Data_Feed_Daily!D7</f>
        <v/>
      </c>
      <c r="F7" s="20">
        <f>MAX(0, D7-(B7+C7))</f>
        <v/>
      </c>
      <c r="G7" s="20">
        <f>B7+C7-D7+F7</f>
        <v/>
      </c>
      <c r="H7" s="20">
        <f>IF(ISNUMBER(O6), O6, Assumptions!$C$13)</f>
        <v/>
      </c>
      <c r="I7" s="20">
        <f>Data_Feed_Daily!G7</f>
        <v/>
      </c>
      <c r="J7" s="20">
        <f>H7+I7-F7</f>
        <v/>
      </c>
      <c r="K7" s="20">
        <f>IF(J7&lt;Assumptions!$C$10, MIN(Assumptions!$C$10-J7, Assumptions!$C$9-IF(ISNUMBER(M6), M6, Assumptions!$C$15)), 0)</f>
        <v/>
      </c>
      <c r="L7" s="20">
        <f>IF(AND(J7&gt;Assumptions!$C$11, IF(ISNUMBER(M6), M6, Assumptions!$C$15)&gt;0), MIN(J7-Assumptions!$C$11, IF(ISNUMBER(M6), M6, Assumptions!$C$15)), 0)</f>
        <v/>
      </c>
      <c r="M7" s="20">
        <f>IF(ISNUMBER(M6), M6, Assumptions!$C$15)+K7-L7</f>
        <v/>
      </c>
      <c r="N7" s="20">
        <f>ROUND(M7*(Assumptions!$C$19/Assumptions!$C$8), 2)</f>
        <v/>
      </c>
      <c r="O7" s="20">
        <f>J7+K7-L7-N7</f>
        <v/>
      </c>
      <c r="P7" s="20">
        <f>O7+(Assumptions!$C$9-M7)</f>
        <v/>
      </c>
      <c r="Q7" s="20">
        <f>P7-Assumptions!$C$10</f>
        <v/>
      </c>
      <c r="R7" s="22">
        <f>IF(Q7&lt;Assumptions!$C$12, "ALERT TRIGGERED", "COMPLIANT")</f>
        <v/>
      </c>
    </row>
    <row r="8">
      <c r="A8" s="17">
        <f>Data_Feed_Daily!A8</f>
        <v/>
      </c>
      <c r="B8" s="18">
        <f>IF(ISNUMBER(G7), G7, Assumptions!$C$14)</f>
        <v/>
      </c>
      <c r="C8" s="18">
        <f>Data_Feed_Daily!C8</f>
        <v/>
      </c>
      <c r="D8" s="18">
        <f>Data_Feed_Daily!E8-Data_Feed_Daily!F8</f>
        <v/>
      </c>
      <c r="E8" s="18">
        <f>C8-D8-Data_Feed_Daily!D8</f>
        <v/>
      </c>
      <c r="F8" s="18">
        <f>MAX(0, D8-(B8+C8))</f>
        <v/>
      </c>
      <c r="G8" s="18">
        <f>B8+C8-D8+F8</f>
        <v/>
      </c>
      <c r="H8" s="18">
        <f>IF(ISNUMBER(O7), O7, Assumptions!$C$13)</f>
        <v/>
      </c>
      <c r="I8" s="18">
        <f>Data_Feed_Daily!G8</f>
        <v/>
      </c>
      <c r="J8" s="18">
        <f>H8+I8-F8</f>
        <v/>
      </c>
      <c r="K8" s="18">
        <f>IF(J8&lt;Assumptions!$C$10, MIN(Assumptions!$C$10-J8, Assumptions!$C$9-IF(ISNUMBER(M7), M7, Assumptions!$C$15)), 0)</f>
        <v/>
      </c>
      <c r="L8" s="18">
        <f>IF(AND(J8&gt;Assumptions!$C$11, IF(ISNUMBER(M7), M7, Assumptions!$C$15)&gt;0), MIN(J8-Assumptions!$C$11, IF(ISNUMBER(M7), M7, Assumptions!$C$15)), 0)</f>
        <v/>
      </c>
      <c r="M8" s="18">
        <f>IF(ISNUMBER(M7), M7, Assumptions!$C$15)+K8-L8</f>
        <v/>
      </c>
      <c r="N8" s="18">
        <f>ROUND(M8*(Assumptions!$C$19/Assumptions!$C$8), 2)</f>
        <v/>
      </c>
      <c r="O8" s="18">
        <f>J8+K8-L8-N8</f>
        <v/>
      </c>
      <c r="P8" s="18">
        <f>O8+(Assumptions!$C$9-M8)</f>
        <v/>
      </c>
      <c r="Q8" s="18">
        <f>P8-Assumptions!$C$10</f>
        <v/>
      </c>
      <c r="R8" s="21">
        <f>IF(Q8&lt;Assumptions!$C$12, "ALERT TRIGGERED", "COMPLIANT")</f>
        <v/>
      </c>
    </row>
    <row r="9">
      <c r="A9" s="19">
        <f>Data_Feed_Daily!A9</f>
        <v/>
      </c>
      <c r="B9" s="20">
        <f>IF(ISNUMBER(G8), G8, Assumptions!$C$14)</f>
        <v/>
      </c>
      <c r="C9" s="20">
        <f>Data_Feed_Daily!C9</f>
        <v/>
      </c>
      <c r="D9" s="20">
        <f>Data_Feed_Daily!E9-Data_Feed_Daily!F9</f>
        <v/>
      </c>
      <c r="E9" s="20">
        <f>C9-D9-Data_Feed_Daily!D9</f>
        <v/>
      </c>
      <c r="F9" s="20">
        <f>MAX(0, D9-(B9+C9))</f>
        <v/>
      </c>
      <c r="G9" s="20">
        <f>B9+C9-D9+F9</f>
        <v/>
      </c>
      <c r="H9" s="20">
        <f>IF(ISNUMBER(O8), O8, Assumptions!$C$13)</f>
        <v/>
      </c>
      <c r="I9" s="20">
        <f>Data_Feed_Daily!G9</f>
        <v/>
      </c>
      <c r="J9" s="20">
        <f>H9+I9-F9</f>
        <v/>
      </c>
      <c r="K9" s="20">
        <f>IF(J9&lt;Assumptions!$C$10, MIN(Assumptions!$C$10-J9, Assumptions!$C$9-IF(ISNUMBER(M8), M8, Assumptions!$C$15)), 0)</f>
        <v/>
      </c>
      <c r="L9" s="20">
        <f>IF(AND(J9&gt;Assumptions!$C$11, IF(ISNUMBER(M8), M8, Assumptions!$C$15)&gt;0), MIN(J9-Assumptions!$C$11, IF(ISNUMBER(M8), M8, Assumptions!$C$15)), 0)</f>
        <v/>
      </c>
      <c r="M9" s="20">
        <f>IF(ISNUMBER(M8), M8, Assumptions!$C$15)+K9-L9</f>
        <v/>
      </c>
      <c r="N9" s="20">
        <f>ROUND(M9*(Assumptions!$C$19/Assumptions!$C$8), 2)</f>
        <v/>
      </c>
      <c r="O9" s="20">
        <f>J9+K9-L9-N9</f>
        <v/>
      </c>
      <c r="P9" s="20">
        <f>O9+(Assumptions!$C$9-M9)</f>
        <v/>
      </c>
      <c r="Q9" s="20">
        <f>P9-Assumptions!$C$10</f>
        <v/>
      </c>
      <c r="R9" s="22">
        <f>IF(Q9&lt;Assumptions!$C$12, "ALERT TRIGGERED", "COMPLIANT")</f>
        <v/>
      </c>
    </row>
    <row r="10">
      <c r="A10" s="17">
        <f>Data_Feed_Daily!A10</f>
        <v/>
      </c>
      <c r="B10" s="18">
        <f>IF(ISNUMBER(G9), G9, Assumptions!$C$14)</f>
        <v/>
      </c>
      <c r="C10" s="18">
        <f>Data_Feed_Daily!C10</f>
        <v/>
      </c>
      <c r="D10" s="18">
        <f>Data_Feed_Daily!E10-Data_Feed_Daily!F10</f>
        <v/>
      </c>
      <c r="E10" s="18">
        <f>C10-D10-Data_Feed_Daily!D10</f>
        <v/>
      </c>
      <c r="F10" s="18">
        <f>MAX(0, D10-(B10+C10))</f>
        <v/>
      </c>
      <c r="G10" s="18">
        <f>B10+C10-D10+F10</f>
        <v/>
      </c>
      <c r="H10" s="18">
        <f>IF(ISNUMBER(O9), O9, Assumptions!$C$13)</f>
        <v/>
      </c>
      <c r="I10" s="18">
        <f>Data_Feed_Daily!G10</f>
        <v/>
      </c>
      <c r="J10" s="18">
        <f>H10+I10-F10</f>
        <v/>
      </c>
      <c r="K10" s="18">
        <f>IF(J10&lt;Assumptions!$C$10, MIN(Assumptions!$C$10-J10, Assumptions!$C$9-IF(ISNUMBER(M9), M9, Assumptions!$C$15)), 0)</f>
        <v/>
      </c>
      <c r="L10" s="18">
        <f>IF(AND(J10&gt;Assumptions!$C$11, IF(ISNUMBER(M9), M9, Assumptions!$C$15)&gt;0), MIN(J10-Assumptions!$C$11, IF(ISNUMBER(M9), M9, Assumptions!$C$15)), 0)</f>
        <v/>
      </c>
      <c r="M10" s="18">
        <f>IF(ISNUMBER(M9), M9, Assumptions!$C$15)+K10-L10</f>
        <v/>
      </c>
      <c r="N10" s="18">
        <f>ROUND(M10*(Assumptions!$C$19/Assumptions!$C$8), 2)</f>
        <v/>
      </c>
      <c r="O10" s="18">
        <f>J10+K10-L10-N10</f>
        <v/>
      </c>
      <c r="P10" s="18">
        <f>O10+(Assumptions!$C$9-M10)</f>
        <v/>
      </c>
      <c r="Q10" s="18">
        <f>P10-Assumptions!$C$10</f>
        <v/>
      </c>
      <c r="R10" s="21">
        <f>IF(Q10&lt;Assumptions!$C$12, "ALERT TRIGGERED", "COMPLIANT")</f>
        <v/>
      </c>
    </row>
    <row r="11">
      <c r="A11" s="19">
        <f>Data_Feed_Daily!A11</f>
        <v/>
      </c>
      <c r="B11" s="20">
        <f>IF(ISNUMBER(G10), G10, Assumptions!$C$14)</f>
        <v/>
      </c>
      <c r="C11" s="20">
        <f>Data_Feed_Daily!C11</f>
        <v/>
      </c>
      <c r="D11" s="20">
        <f>Data_Feed_Daily!E11-Data_Feed_Daily!F11</f>
        <v/>
      </c>
      <c r="E11" s="20">
        <f>C11-D11-Data_Feed_Daily!D11</f>
        <v/>
      </c>
      <c r="F11" s="20">
        <f>MAX(0, D11-(B11+C11))</f>
        <v/>
      </c>
      <c r="G11" s="20">
        <f>B11+C11-D11+F11</f>
        <v/>
      </c>
      <c r="H11" s="20">
        <f>IF(ISNUMBER(O10), O10, Assumptions!$C$13)</f>
        <v/>
      </c>
      <c r="I11" s="20">
        <f>Data_Feed_Daily!G11</f>
        <v/>
      </c>
      <c r="J11" s="20">
        <f>H11+I11-F11</f>
        <v/>
      </c>
      <c r="K11" s="20">
        <f>IF(J11&lt;Assumptions!$C$10, MIN(Assumptions!$C$10-J11, Assumptions!$C$9-IF(ISNUMBER(M10), M10, Assumptions!$C$15)), 0)</f>
        <v/>
      </c>
      <c r="L11" s="20">
        <f>IF(AND(J11&gt;Assumptions!$C$11, IF(ISNUMBER(M10), M10, Assumptions!$C$15)&gt;0), MIN(J11-Assumptions!$C$11, IF(ISNUMBER(M10), M10, Assumptions!$C$15)), 0)</f>
        <v/>
      </c>
      <c r="M11" s="20">
        <f>IF(ISNUMBER(M10), M10, Assumptions!$C$15)+K11-L11</f>
        <v/>
      </c>
      <c r="N11" s="20">
        <f>ROUND(M11*(Assumptions!$C$19/Assumptions!$C$8), 2)</f>
        <v/>
      </c>
      <c r="O11" s="20">
        <f>J11+K11-L11-N11</f>
        <v/>
      </c>
      <c r="P11" s="20">
        <f>O11+(Assumptions!$C$9-M11)</f>
        <v/>
      </c>
      <c r="Q11" s="20">
        <f>P11-Assumptions!$C$10</f>
        <v/>
      </c>
      <c r="R11" s="22">
        <f>IF(Q11&lt;Assumptions!$C$12, "ALERT TRIGGERED", "COMPLIANT")</f>
        <v/>
      </c>
    </row>
    <row r="12">
      <c r="A12" s="17">
        <f>Data_Feed_Daily!A12</f>
        <v/>
      </c>
      <c r="B12" s="18">
        <f>IF(ISNUMBER(G11), G11, Assumptions!$C$14)</f>
        <v/>
      </c>
      <c r="C12" s="18">
        <f>Data_Feed_Daily!C12</f>
        <v/>
      </c>
      <c r="D12" s="18">
        <f>Data_Feed_Daily!E12-Data_Feed_Daily!F12</f>
        <v/>
      </c>
      <c r="E12" s="18">
        <f>C12-D12-Data_Feed_Daily!D12</f>
        <v/>
      </c>
      <c r="F12" s="18">
        <f>MAX(0, D12-(B12+C12))</f>
        <v/>
      </c>
      <c r="G12" s="18">
        <f>B12+C12-D12+F12</f>
        <v/>
      </c>
      <c r="H12" s="18">
        <f>IF(ISNUMBER(O11), O11, Assumptions!$C$13)</f>
        <v/>
      </c>
      <c r="I12" s="18">
        <f>Data_Feed_Daily!G12</f>
        <v/>
      </c>
      <c r="J12" s="18">
        <f>H12+I12-F12</f>
        <v/>
      </c>
      <c r="K12" s="18">
        <f>IF(J12&lt;Assumptions!$C$10, MIN(Assumptions!$C$10-J12, Assumptions!$C$9-IF(ISNUMBER(M11), M11, Assumptions!$C$15)), 0)</f>
        <v/>
      </c>
      <c r="L12" s="18">
        <f>IF(AND(J12&gt;Assumptions!$C$11, IF(ISNUMBER(M11), M11, Assumptions!$C$15)&gt;0), MIN(J12-Assumptions!$C$11, IF(ISNUMBER(M11), M11, Assumptions!$C$15)), 0)</f>
        <v/>
      </c>
      <c r="M12" s="18">
        <f>IF(ISNUMBER(M11), M11, Assumptions!$C$15)+K12-L12</f>
        <v/>
      </c>
      <c r="N12" s="18">
        <f>ROUND(M12*(Assumptions!$C$19/Assumptions!$C$8), 2)</f>
        <v/>
      </c>
      <c r="O12" s="18">
        <f>J12+K12-L12-N12</f>
        <v/>
      </c>
      <c r="P12" s="18">
        <f>O12+(Assumptions!$C$9-M12)</f>
        <v/>
      </c>
      <c r="Q12" s="18">
        <f>P12-Assumptions!$C$10</f>
        <v/>
      </c>
      <c r="R12" s="21">
        <f>IF(Q12&lt;Assumptions!$C$12, "ALERT TRIGGERED", "COMPLIANT")</f>
        <v/>
      </c>
    </row>
    <row r="13">
      <c r="A13" s="19">
        <f>Data_Feed_Daily!A13</f>
        <v/>
      </c>
      <c r="B13" s="20">
        <f>IF(ISNUMBER(G12), G12, Assumptions!$C$14)</f>
        <v/>
      </c>
      <c r="C13" s="20">
        <f>Data_Feed_Daily!C13</f>
        <v/>
      </c>
      <c r="D13" s="20">
        <f>Data_Feed_Daily!E13-Data_Feed_Daily!F13</f>
        <v/>
      </c>
      <c r="E13" s="20">
        <f>C13-D13-Data_Feed_Daily!D13</f>
        <v/>
      </c>
      <c r="F13" s="20">
        <f>MAX(0, D13-(B13+C13))</f>
        <v/>
      </c>
      <c r="G13" s="20">
        <f>B13+C13-D13+F13</f>
        <v/>
      </c>
      <c r="H13" s="20">
        <f>IF(ISNUMBER(O12), O12, Assumptions!$C$13)</f>
        <v/>
      </c>
      <c r="I13" s="20">
        <f>Data_Feed_Daily!G13</f>
        <v/>
      </c>
      <c r="J13" s="20">
        <f>H13+I13-F13</f>
        <v/>
      </c>
      <c r="K13" s="20">
        <f>IF(J13&lt;Assumptions!$C$10, MIN(Assumptions!$C$10-J13, Assumptions!$C$9-IF(ISNUMBER(M12), M12, Assumptions!$C$15)), 0)</f>
        <v/>
      </c>
      <c r="L13" s="20">
        <f>IF(AND(J13&gt;Assumptions!$C$11, IF(ISNUMBER(M12), M12, Assumptions!$C$15)&gt;0), MIN(J13-Assumptions!$C$11, IF(ISNUMBER(M12), M12, Assumptions!$C$15)), 0)</f>
        <v/>
      </c>
      <c r="M13" s="20">
        <f>IF(ISNUMBER(M12), M12, Assumptions!$C$15)+K13-L13</f>
        <v/>
      </c>
      <c r="N13" s="20">
        <f>ROUND(M13*(Assumptions!$C$19/Assumptions!$C$8), 2)</f>
        <v/>
      </c>
      <c r="O13" s="20">
        <f>J13+K13-L13-N13</f>
        <v/>
      </c>
      <c r="P13" s="20">
        <f>O13+(Assumptions!$C$9-M13)</f>
        <v/>
      </c>
      <c r="Q13" s="20">
        <f>P13-Assumptions!$C$10</f>
        <v/>
      </c>
      <c r="R13" s="22">
        <f>IF(Q13&lt;Assumptions!$C$12, "ALERT TRIGGERED", "COMPLIANT")</f>
        <v/>
      </c>
    </row>
    <row r="14">
      <c r="A14" s="17">
        <f>Data_Feed_Daily!A14</f>
        <v/>
      </c>
      <c r="B14" s="18">
        <f>IF(ISNUMBER(G13), G13, Assumptions!$C$14)</f>
        <v/>
      </c>
      <c r="C14" s="18">
        <f>Data_Feed_Daily!C14</f>
        <v/>
      </c>
      <c r="D14" s="18">
        <f>Data_Feed_Daily!E14-Data_Feed_Daily!F14</f>
        <v/>
      </c>
      <c r="E14" s="18">
        <f>C14-D14-Data_Feed_Daily!D14</f>
        <v/>
      </c>
      <c r="F14" s="18">
        <f>MAX(0, D14-(B14+C14))</f>
        <v/>
      </c>
      <c r="G14" s="18">
        <f>B14+C14-D14+F14</f>
        <v/>
      </c>
      <c r="H14" s="18">
        <f>IF(ISNUMBER(O13), O13, Assumptions!$C$13)</f>
        <v/>
      </c>
      <c r="I14" s="18">
        <f>Data_Feed_Daily!G14</f>
        <v/>
      </c>
      <c r="J14" s="18">
        <f>H14+I14-F14</f>
        <v/>
      </c>
      <c r="K14" s="18">
        <f>IF(J14&lt;Assumptions!$C$10, MIN(Assumptions!$C$10-J14, Assumptions!$C$9-IF(ISNUMBER(M13), M13, Assumptions!$C$15)), 0)</f>
        <v/>
      </c>
      <c r="L14" s="18">
        <f>IF(AND(J14&gt;Assumptions!$C$11, IF(ISNUMBER(M13), M13, Assumptions!$C$15)&gt;0), MIN(J14-Assumptions!$C$11, IF(ISNUMBER(M13), M13, Assumptions!$C$15)), 0)</f>
        <v/>
      </c>
      <c r="M14" s="18">
        <f>IF(ISNUMBER(M13), M13, Assumptions!$C$15)+K14-L14</f>
        <v/>
      </c>
      <c r="N14" s="18">
        <f>ROUND(M14*(Assumptions!$C$19/Assumptions!$C$8), 2)</f>
        <v/>
      </c>
      <c r="O14" s="18">
        <f>J14+K14-L14-N14</f>
        <v/>
      </c>
      <c r="P14" s="18">
        <f>O14+(Assumptions!$C$9-M14)</f>
        <v/>
      </c>
      <c r="Q14" s="18">
        <f>P14-Assumptions!$C$10</f>
        <v/>
      </c>
      <c r="R14" s="21">
        <f>IF(Q14&lt;Assumptions!$C$12, "ALERT TRIGGERED", "COMPLIANT")</f>
        <v/>
      </c>
    </row>
    <row r="15">
      <c r="A15" s="19">
        <f>Data_Feed_Daily!A15</f>
        <v/>
      </c>
      <c r="B15" s="20">
        <f>IF(ISNUMBER(G14), G14, Assumptions!$C$14)</f>
        <v/>
      </c>
      <c r="C15" s="20">
        <f>Data_Feed_Daily!C15</f>
        <v/>
      </c>
      <c r="D15" s="20">
        <f>Data_Feed_Daily!E15-Data_Feed_Daily!F15</f>
        <v/>
      </c>
      <c r="E15" s="20">
        <f>C15-D15-Data_Feed_Daily!D15</f>
        <v/>
      </c>
      <c r="F15" s="20">
        <f>MAX(0, D15-(B15+C15))</f>
        <v/>
      </c>
      <c r="G15" s="20">
        <f>B15+C15-D15+F15</f>
        <v/>
      </c>
      <c r="H15" s="20">
        <f>IF(ISNUMBER(O14), O14, Assumptions!$C$13)</f>
        <v/>
      </c>
      <c r="I15" s="20">
        <f>Data_Feed_Daily!G15</f>
        <v/>
      </c>
      <c r="J15" s="20">
        <f>H15+I15-F15</f>
        <v/>
      </c>
      <c r="K15" s="20">
        <f>IF(J15&lt;Assumptions!$C$10, MIN(Assumptions!$C$10-J15, Assumptions!$C$9-IF(ISNUMBER(M14), M14, Assumptions!$C$15)), 0)</f>
        <v/>
      </c>
      <c r="L15" s="20">
        <f>IF(AND(J15&gt;Assumptions!$C$11, IF(ISNUMBER(M14), M14, Assumptions!$C$15)&gt;0), MIN(J15-Assumptions!$C$11, IF(ISNUMBER(M14), M14, Assumptions!$C$15)), 0)</f>
        <v/>
      </c>
      <c r="M15" s="20">
        <f>IF(ISNUMBER(M14), M14, Assumptions!$C$15)+K15-L15</f>
        <v/>
      </c>
      <c r="N15" s="20">
        <f>ROUND(M15*(Assumptions!$C$19/Assumptions!$C$8), 2)</f>
        <v/>
      </c>
      <c r="O15" s="20">
        <f>J15+K15-L15-N15</f>
        <v/>
      </c>
      <c r="P15" s="20">
        <f>O15+(Assumptions!$C$9-M15)</f>
        <v/>
      </c>
      <c r="Q15" s="20">
        <f>P15-Assumptions!$C$10</f>
        <v/>
      </c>
      <c r="R15" s="22">
        <f>IF(Q15&lt;Assumptions!$C$12, "ALERT TRIGGERED", "COMPLIANT")</f>
        <v/>
      </c>
    </row>
    <row r="16">
      <c r="A16" s="17">
        <f>Data_Feed_Daily!A16</f>
        <v/>
      </c>
      <c r="B16" s="18">
        <f>IF(ISNUMBER(G15), G15, Assumptions!$C$14)</f>
        <v/>
      </c>
      <c r="C16" s="18">
        <f>Data_Feed_Daily!C16</f>
        <v/>
      </c>
      <c r="D16" s="18">
        <f>Data_Feed_Daily!E16-Data_Feed_Daily!F16</f>
        <v/>
      </c>
      <c r="E16" s="18">
        <f>C16-D16-Data_Feed_Daily!D16</f>
        <v/>
      </c>
      <c r="F16" s="18">
        <f>MAX(0, D16-(B16+C16))</f>
        <v/>
      </c>
      <c r="G16" s="18">
        <f>B16+C16-D16+F16</f>
        <v/>
      </c>
      <c r="H16" s="18">
        <f>IF(ISNUMBER(O15), O15, Assumptions!$C$13)</f>
        <v/>
      </c>
      <c r="I16" s="18">
        <f>Data_Feed_Daily!G16</f>
        <v/>
      </c>
      <c r="J16" s="18">
        <f>H16+I16-F16</f>
        <v/>
      </c>
      <c r="K16" s="18">
        <f>IF(J16&lt;Assumptions!$C$10, MIN(Assumptions!$C$10-J16, Assumptions!$C$9-IF(ISNUMBER(M15), M15, Assumptions!$C$15)), 0)</f>
        <v/>
      </c>
      <c r="L16" s="18">
        <f>IF(AND(J16&gt;Assumptions!$C$11, IF(ISNUMBER(M15), M15, Assumptions!$C$15)&gt;0), MIN(J16-Assumptions!$C$11, IF(ISNUMBER(M15), M15, Assumptions!$C$15)), 0)</f>
        <v/>
      </c>
      <c r="M16" s="18">
        <f>IF(ISNUMBER(M15), M15, Assumptions!$C$15)+K16-L16</f>
        <v/>
      </c>
      <c r="N16" s="18">
        <f>ROUND(M16*(Assumptions!$C$19/Assumptions!$C$8), 2)</f>
        <v/>
      </c>
      <c r="O16" s="18">
        <f>J16+K16-L16-N16</f>
        <v/>
      </c>
      <c r="P16" s="18">
        <f>O16+(Assumptions!$C$9-M16)</f>
        <v/>
      </c>
      <c r="Q16" s="18">
        <f>P16-Assumptions!$C$10</f>
        <v/>
      </c>
      <c r="R16" s="21">
        <f>IF(Q16&lt;Assumptions!$C$12, "ALERT TRIGGERED", "COMPLIANT")</f>
        <v/>
      </c>
    </row>
    <row r="17">
      <c r="A17" s="19">
        <f>Data_Feed_Daily!A17</f>
        <v/>
      </c>
      <c r="B17" s="20">
        <f>IF(ISNUMBER(G16), G16, Assumptions!$C$14)</f>
        <v/>
      </c>
      <c r="C17" s="20">
        <f>Data_Feed_Daily!C17</f>
        <v/>
      </c>
      <c r="D17" s="20">
        <f>Data_Feed_Daily!E17-Data_Feed_Daily!F17</f>
        <v/>
      </c>
      <c r="E17" s="20">
        <f>C17-D17-Data_Feed_Daily!D17</f>
        <v/>
      </c>
      <c r="F17" s="20">
        <f>MAX(0, D17-(B17+C17))</f>
        <v/>
      </c>
      <c r="G17" s="20">
        <f>B17+C17-D17+F17</f>
        <v/>
      </c>
      <c r="H17" s="20">
        <f>IF(ISNUMBER(O16), O16, Assumptions!$C$13)</f>
        <v/>
      </c>
      <c r="I17" s="20">
        <f>Data_Feed_Daily!G17</f>
        <v/>
      </c>
      <c r="J17" s="20">
        <f>H17+I17-F17</f>
        <v/>
      </c>
      <c r="K17" s="20">
        <f>IF(J17&lt;Assumptions!$C$10, MIN(Assumptions!$C$10-J17, Assumptions!$C$9-IF(ISNUMBER(M16), M16, Assumptions!$C$15)), 0)</f>
        <v/>
      </c>
      <c r="L17" s="20">
        <f>IF(AND(J17&gt;Assumptions!$C$11, IF(ISNUMBER(M16), M16, Assumptions!$C$15)&gt;0), MIN(J17-Assumptions!$C$11, IF(ISNUMBER(M16), M16, Assumptions!$C$15)), 0)</f>
        <v/>
      </c>
      <c r="M17" s="20">
        <f>IF(ISNUMBER(M16), M16, Assumptions!$C$15)+K17-L17</f>
        <v/>
      </c>
      <c r="N17" s="20">
        <f>ROUND(M17*(Assumptions!$C$19/Assumptions!$C$8), 2)</f>
        <v/>
      </c>
      <c r="O17" s="20">
        <f>J17+K17-L17-N17</f>
        <v/>
      </c>
      <c r="P17" s="20">
        <f>O17+(Assumptions!$C$9-M17)</f>
        <v/>
      </c>
      <c r="Q17" s="20">
        <f>P17-Assumptions!$C$10</f>
        <v/>
      </c>
      <c r="R17" s="22">
        <f>IF(Q17&lt;Assumptions!$C$12, "ALERT TRIGGERED", "COMPLIANT")</f>
        <v/>
      </c>
    </row>
    <row r="18">
      <c r="A18" s="17">
        <f>Data_Feed_Daily!A18</f>
        <v/>
      </c>
      <c r="B18" s="18">
        <f>IF(ISNUMBER(G17), G17, Assumptions!$C$14)</f>
        <v/>
      </c>
      <c r="C18" s="18">
        <f>Data_Feed_Daily!C18</f>
        <v/>
      </c>
      <c r="D18" s="18">
        <f>Data_Feed_Daily!E18-Data_Feed_Daily!F18</f>
        <v/>
      </c>
      <c r="E18" s="18">
        <f>C18-D18-Data_Feed_Daily!D18</f>
        <v/>
      </c>
      <c r="F18" s="18">
        <f>MAX(0, D18-(B18+C18))</f>
        <v/>
      </c>
      <c r="G18" s="18">
        <f>B18+C18-D18+F18</f>
        <v/>
      </c>
      <c r="H18" s="18">
        <f>IF(ISNUMBER(O17), O17, Assumptions!$C$13)</f>
        <v/>
      </c>
      <c r="I18" s="18">
        <f>Data_Feed_Daily!G18</f>
        <v/>
      </c>
      <c r="J18" s="18">
        <f>H18+I18-F18</f>
        <v/>
      </c>
      <c r="K18" s="18">
        <f>IF(J18&lt;Assumptions!$C$10, MIN(Assumptions!$C$10-J18, Assumptions!$C$9-IF(ISNUMBER(M17), M17, Assumptions!$C$15)), 0)</f>
        <v/>
      </c>
      <c r="L18" s="18">
        <f>IF(AND(J18&gt;Assumptions!$C$11, IF(ISNUMBER(M17), M17, Assumptions!$C$15)&gt;0), MIN(J18-Assumptions!$C$11, IF(ISNUMBER(M17), M17, Assumptions!$C$15)), 0)</f>
        <v/>
      </c>
      <c r="M18" s="18">
        <f>IF(ISNUMBER(M17), M17, Assumptions!$C$15)+K18-L18</f>
        <v/>
      </c>
      <c r="N18" s="18">
        <f>ROUND(M18*(Assumptions!$C$19/Assumptions!$C$8), 2)</f>
        <v/>
      </c>
      <c r="O18" s="18">
        <f>J18+K18-L18-N18</f>
        <v/>
      </c>
      <c r="P18" s="18">
        <f>O18+(Assumptions!$C$9-M18)</f>
        <v/>
      </c>
      <c r="Q18" s="18">
        <f>P18-Assumptions!$C$10</f>
        <v/>
      </c>
      <c r="R18" s="21">
        <f>IF(Q18&lt;Assumptions!$C$12, "ALERT TRIGGERED", "COMPLIANT")</f>
        <v/>
      </c>
    </row>
    <row r="19">
      <c r="A19" s="19">
        <f>Data_Feed_Daily!A19</f>
        <v/>
      </c>
      <c r="B19" s="20">
        <f>IF(ISNUMBER(G18), G18, Assumptions!$C$14)</f>
        <v/>
      </c>
      <c r="C19" s="20">
        <f>Data_Feed_Daily!C19</f>
        <v/>
      </c>
      <c r="D19" s="20">
        <f>Data_Feed_Daily!E19-Data_Feed_Daily!F19</f>
        <v/>
      </c>
      <c r="E19" s="20">
        <f>C19-D19-Data_Feed_Daily!D19</f>
        <v/>
      </c>
      <c r="F19" s="20">
        <f>MAX(0, D19-(B19+C19))</f>
        <v/>
      </c>
      <c r="G19" s="20">
        <f>B19+C19-D19+F19</f>
        <v/>
      </c>
      <c r="H19" s="20">
        <f>IF(ISNUMBER(O18), O18, Assumptions!$C$13)</f>
        <v/>
      </c>
      <c r="I19" s="20">
        <f>Data_Feed_Daily!G19</f>
        <v/>
      </c>
      <c r="J19" s="20">
        <f>H19+I19-F19</f>
        <v/>
      </c>
      <c r="K19" s="20">
        <f>IF(J19&lt;Assumptions!$C$10, MIN(Assumptions!$C$10-J19, Assumptions!$C$9-IF(ISNUMBER(M18), M18, Assumptions!$C$15)), 0)</f>
        <v/>
      </c>
      <c r="L19" s="20">
        <f>IF(AND(J19&gt;Assumptions!$C$11, IF(ISNUMBER(M18), M18, Assumptions!$C$15)&gt;0), MIN(J19-Assumptions!$C$11, IF(ISNUMBER(M18), M18, Assumptions!$C$15)), 0)</f>
        <v/>
      </c>
      <c r="M19" s="20">
        <f>IF(ISNUMBER(M18), M18, Assumptions!$C$15)+K19-L19</f>
        <v/>
      </c>
      <c r="N19" s="20">
        <f>ROUND(M19*(Assumptions!$C$19/Assumptions!$C$8), 2)</f>
        <v/>
      </c>
      <c r="O19" s="20">
        <f>J19+K19-L19-N19</f>
        <v/>
      </c>
      <c r="P19" s="20">
        <f>O19+(Assumptions!$C$9-M19)</f>
        <v/>
      </c>
      <c r="Q19" s="20">
        <f>P19-Assumptions!$C$10</f>
        <v/>
      </c>
      <c r="R19" s="22">
        <f>IF(Q19&lt;Assumptions!$C$12, "ALERT TRIGGERED", "COMPLIANT")</f>
        <v/>
      </c>
    </row>
    <row r="20">
      <c r="A20" s="17">
        <f>Data_Feed_Daily!A20</f>
        <v/>
      </c>
      <c r="B20" s="18">
        <f>IF(ISNUMBER(G19), G19, Assumptions!$C$14)</f>
        <v/>
      </c>
      <c r="C20" s="18">
        <f>Data_Feed_Daily!C20</f>
        <v/>
      </c>
      <c r="D20" s="18">
        <f>Data_Feed_Daily!E20-Data_Feed_Daily!F20</f>
        <v/>
      </c>
      <c r="E20" s="18">
        <f>C20-D20-Data_Feed_Daily!D20</f>
        <v/>
      </c>
      <c r="F20" s="18">
        <f>MAX(0, D20-(B20+C20))</f>
        <v/>
      </c>
      <c r="G20" s="18">
        <f>B20+C20-D20+F20</f>
        <v/>
      </c>
      <c r="H20" s="18">
        <f>IF(ISNUMBER(O19), O19, Assumptions!$C$13)</f>
        <v/>
      </c>
      <c r="I20" s="18">
        <f>Data_Feed_Daily!G20</f>
        <v/>
      </c>
      <c r="J20" s="18">
        <f>H20+I20-F20</f>
        <v/>
      </c>
      <c r="K20" s="18">
        <f>IF(J20&lt;Assumptions!$C$10, MIN(Assumptions!$C$10-J20, Assumptions!$C$9-IF(ISNUMBER(M19), M19, Assumptions!$C$15)), 0)</f>
        <v/>
      </c>
      <c r="L20" s="18">
        <f>IF(AND(J20&gt;Assumptions!$C$11, IF(ISNUMBER(M19), M19, Assumptions!$C$15)&gt;0), MIN(J20-Assumptions!$C$11, IF(ISNUMBER(M19), M19, Assumptions!$C$15)), 0)</f>
        <v/>
      </c>
      <c r="M20" s="18">
        <f>IF(ISNUMBER(M19), M19, Assumptions!$C$15)+K20-L20</f>
        <v/>
      </c>
      <c r="N20" s="18">
        <f>ROUND(M20*(Assumptions!$C$19/Assumptions!$C$8), 2)</f>
        <v/>
      </c>
      <c r="O20" s="18">
        <f>J20+K20-L20-N20</f>
        <v/>
      </c>
      <c r="P20" s="18">
        <f>O20+(Assumptions!$C$9-M20)</f>
        <v/>
      </c>
      <c r="Q20" s="18">
        <f>P20-Assumptions!$C$10</f>
        <v/>
      </c>
      <c r="R20" s="21">
        <f>IF(Q20&lt;Assumptions!$C$12, "ALERT TRIGGERED", "COMPLIANT")</f>
        <v/>
      </c>
    </row>
    <row r="21">
      <c r="A21" s="19">
        <f>Data_Feed_Daily!A21</f>
        <v/>
      </c>
      <c r="B21" s="20">
        <f>IF(ISNUMBER(G20), G20, Assumptions!$C$14)</f>
        <v/>
      </c>
      <c r="C21" s="20">
        <f>Data_Feed_Daily!C21</f>
        <v/>
      </c>
      <c r="D21" s="20">
        <f>Data_Feed_Daily!E21-Data_Feed_Daily!F21</f>
        <v/>
      </c>
      <c r="E21" s="20">
        <f>C21-D21-Data_Feed_Daily!D21</f>
        <v/>
      </c>
      <c r="F21" s="20">
        <f>MAX(0, D21-(B21+C21))</f>
        <v/>
      </c>
      <c r="G21" s="20">
        <f>B21+C21-D21+F21</f>
        <v/>
      </c>
      <c r="H21" s="20">
        <f>IF(ISNUMBER(O20), O20, Assumptions!$C$13)</f>
        <v/>
      </c>
      <c r="I21" s="20">
        <f>Data_Feed_Daily!G21</f>
        <v/>
      </c>
      <c r="J21" s="20">
        <f>H21+I21-F21</f>
        <v/>
      </c>
      <c r="K21" s="20">
        <f>IF(J21&lt;Assumptions!$C$10, MIN(Assumptions!$C$10-J21, Assumptions!$C$9-IF(ISNUMBER(M20), M20, Assumptions!$C$15)), 0)</f>
        <v/>
      </c>
      <c r="L21" s="20">
        <f>IF(AND(J21&gt;Assumptions!$C$11, IF(ISNUMBER(M20), M20, Assumptions!$C$15)&gt;0), MIN(J21-Assumptions!$C$11, IF(ISNUMBER(M20), M20, Assumptions!$C$15)), 0)</f>
        <v/>
      </c>
      <c r="M21" s="20">
        <f>IF(ISNUMBER(M20), M20, Assumptions!$C$15)+K21-L21</f>
        <v/>
      </c>
      <c r="N21" s="20">
        <f>ROUND(M21*(Assumptions!$C$19/Assumptions!$C$8), 2)</f>
        <v/>
      </c>
      <c r="O21" s="20">
        <f>J21+K21-L21-N21</f>
        <v/>
      </c>
      <c r="P21" s="20">
        <f>O21+(Assumptions!$C$9-M21)</f>
        <v/>
      </c>
      <c r="Q21" s="20">
        <f>P21-Assumptions!$C$10</f>
        <v/>
      </c>
      <c r="R21" s="22">
        <f>IF(Q21&lt;Assumptions!$C$12, "ALERT TRIGGERED", "COMPLIANT")</f>
        <v/>
      </c>
    </row>
    <row r="22">
      <c r="A22" s="17">
        <f>Data_Feed_Daily!A22</f>
        <v/>
      </c>
      <c r="B22" s="18">
        <f>IF(ISNUMBER(G21), G21, Assumptions!$C$14)</f>
        <v/>
      </c>
      <c r="C22" s="18">
        <f>Data_Feed_Daily!C22</f>
        <v/>
      </c>
      <c r="D22" s="18">
        <f>Data_Feed_Daily!E22-Data_Feed_Daily!F22</f>
        <v/>
      </c>
      <c r="E22" s="18">
        <f>C22-D22-Data_Feed_Daily!D22</f>
        <v/>
      </c>
      <c r="F22" s="18">
        <f>MAX(0, D22-(B22+C22))</f>
        <v/>
      </c>
      <c r="G22" s="18">
        <f>B22+C22-D22+F22</f>
        <v/>
      </c>
      <c r="H22" s="18">
        <f>IF(ISNUMBER(O21), O21, Assumptions!$C$13)</f>
        <v/>
      </c>
      <c r="I22" s="18">
        <f>Data_Feed_Daily!G22</f>
        <v/>
      </c>
      <c r="J22" s="18">
        <f>H22+I22-F22</f>
        <v/>
      </c>
      <c r="K22" s="18">
        <f>IF(J22&lt;Assumptions!$C$10, MIN(Assumptions!$C$10-J22, Assumptions!$C$9-IF(ISNUMBER(M21), M21, Assumptions!$C$15)), 0)</f>
        <v/>
      </c>
      <c r="L22" s="18">
        <f>IF(AND(J22&gt;Assumptions!$C$11, IF(ISNUMBER(M21), M21, Assumptions!$C$15)&gt;0), MIN(J22-Assumptions!$C$11, IF(ISNUMBER(M21), M21, Assumptions!$C$15)), 0)</f>
        <v/>
      </c>
      <c r="M22" s="18">
        <f>IF(ISNUMBER(M21), M21, Assumptions!$C$15)+K22-L22</f>
        <v/>
      </c>
      <c r="N22" s="18">
        <f>ROUND(M22*(Assumptions!$C$19/Assumptions!$C$8), 2)</f>
        <v/>
      </c>
      <c r="O22" s="18">
        <f>J22+K22-L22-N22</f>
        <v/>
      </c>
      <c r="P22" s="18">
        <f>O22+(Assumptions!$C$9-M22)</f>
        <v/>
      </c>
      <c r="Q22" s="18">
        <f>P22-Assumptions!$C$10</f>
        <v/>
      </c>
      <c r="R22" s="21">
        <f>IF(Q22&lt;Assumptions!$C$12, "ALERT TRIGGERED", "COMPLIANT")</f>
        <v/>
      </c>
    </row>
    <row r="23">
      <c r="A23" s="19">
        <f>Data_Feed_Daily!A23</f>
        <v/>
      </c>
      <c r="B23" s="20">
        <f>IF(ISNUMBER(G22), G22, Assumptions!$C$14)</f>
        <v/>
      </c>
      <c r="C23" s="20">
        <f>Data_Feed_Daily!C23</f>
        <v/>
      </c>
      <c r="D23" s="20">
        <f>Data_Feed_Daily!E23-Data_Feed_Daily!F23</f>
        <v/>
      </c>
      <c r="E23" s="20">
        <f>C23-D23-Data_Feed_Daily!D23</f>
        <v/>
      </c>
      <c r="F23" s="20">
        <f>MAX(0, D23-(B23+C23))</f>
        <v/>
      </c>
      <c r="G23" s="20">
        <f>B23+C23-D23+F23</f>
        <v/>
      </c>
      <c r="H23" s="20">
        <f>IF(ISNUMBER(O22), O22, Assumptions!$C$13)</f>
        <v/>
      </c>
      <c r="I23" s="20">
        <f>Data_Feed_Daily!G23</f>
        <v/>
      </c>
      <c r="J23" s="20">
        <f>H23+I23-F23</f>
        <v/>
      </c>
      <c r="K23" s="20">
        <f>IF(J23&lt;Assumptions!$C$10, MIN(Assumptions!$C$10-J23, Assumptions!$C$9-IF(ISNUMBER(M22), M22, Assumptions!$C$15)), 0)</f>
        <v/>
      </c>
      <c r="L23" s="20">
        <f>IF(AND(J23&gt;Assumptions!$C$11, IF(ISNUMBER(M22), M22, Assumptions!$C$15)&gt;0), MIN(J23-Assumptions!$C$11, IF(ISNUMBER(M22), M22, Assumptions!$C$15)), 0)</f>
        <v/>
      </c>
      <c r="M23" s="20">
        <f>IF(ISNUMBER(M22), M22, Assumptions!$C$15)+K23-L23</f>
        <v/>
      </c>
      <c r="N23" s="20">
        <f>ROUND(M23*(Assumptions!$C$19/Assumptions!$C$8), 2)</f>
        <v/>
      </c>
      <c r="O23" s="20">
        <f>J23+K23-L23-N23</f>
        <v/>
      </c>
      <c r="P23" s="20">
        <f>O23+(Assumptions!$C$9-M23)</f>
        <v/>
      </c>
      <c r="Q23" s="20">
        <f>P23-Assumptions!$C$10</f>
        <v/>
      </c>
      <c r="R23" s="22">
        <f>IF(Q23&lt;Assumptions!$C$12, "ALERT TRIGGERED", "COMPLIANT")</f>
        <v/>
      </c>
    </row>
    <row r="24">
      <c r="A24" s="17">
        <f>Data_Feed_Daily!A24</f>
        <v/>
      </c>
      <c r="B24" s="18">
        <f>IF(ISNUMBER(G23), G23, Assumptions!$C$14)</f>
        <v/>
      </c>
      <c r="C24" s="18">
        <f>Data_Feed_Daily!C24</f>
        <v/>
      </c>
      <c r="D24" s="18">
        <f>Data_Feed_Daily!E24-Data_Feed_Daily!F24</f>
        <v/>
      </c>
      <c r="E24" s="18">
        <f>C24-D24-Data_Feed_Daily!D24</f>
        <v/>
      </c>
      <c r="F24" s="18">
        <f>MAX(0, D24-(B24+C24))</f>
        <v/>
      </c>
      <c r="G24" s="18">
        <f>B24+C24-D24+F24</f>
        <v/>
      </c>
      <c r="H24" s="18">
        <f>IF(ISNUMBER(O23), O23, Assumptions!$C$13)</f>
        <v/>
      </c>
      <c r="I24" s="18">
        <f>Data_Feed_Daily!G24</f>
        <v/>
      </c>
      <c r="J24" s="18">
        <f>H24+I24-F24</f>
        <v/>
      </c>
      <c r="K24" s="18">
        <f>IF(J24&lt;Assumptions!$C$10, MIN(Assumptions!$C$10-J24, Assumptions!$C$9-IF(ISNUMBER(M23), M23, Assumptions!$C$15)), 0)</f>
        <v/>
      </c>
      <c r="L24" s="18">
        <f>IF(AND(J24&gt;Assumptions!$C$11, IF(ISNUMBER(M23), M23, Assumptions!$C$15)&gt;0), MIN(J24-Assumptions!$C$11, IF(ISNUMBER(M23), M23, Assumptions!$C$15)), 0)</f>
        <v/>
      </c>
      <c r="M24" s="18">
        <f>IF(ISNUMBER(M23), M23, Assumptions!$C$15)+K24-L24</f>
        <v/>
      </c>
      <c r="N24" s="18">
        <f>ROUND(M24*(Assumptions!$C$19/Assumptions!$C$8), 2)</f>
        <v/>
      </c>
      <c r="O24" s="18">
        <f>J24+K24-L24-N24</f>
        <v/>
      </c>
      <c r="P24" s="18">
        <f>O24+(Assumptions!$C$9-M24)</f>
        <v/>
      </c>
      <c r="Q24" s="18">
        <f>P24-Assumptions!$C$10</f>
        <v/>
      </c>
      <c r="R24" s="21">
        <f>IF(Q24&lt;Assumptions!$C$12, "ALERT TRIGGERED", "COMPLIANT")</f>
        <v/>
      </c>
    </row>
    <row r="25">
      <c r="A25" s="19">
        <f>Data_Feed_Daily!A25</f>
        <v/>
      </c>
      <c r="B25" s="20">
        <f>IF(ISNUMBER(G24), G24, Assumptions!$C$14)</f>
        <v/>
      </c>
      <c r="C25" s="20">
        <f>Data_Feed_Daily!C25</f>
        <v/>
      </c>
      <c r="D25" s="20">
        <f>Data_Feed_Daily!E25-Data_Feed_Daily!F25</f>
        <v/>
      </c>
      <c r="E25" s="20">
        <f>C25-D25-Data_Feed_Daily!D25</f>
        <v/>
      </c>
      <c r="F25" s="20">
        <f>MAX(0, D25-(B25+C25))</f>
        <v/>
      </c>
      <c r="G25" s="20">
        <f>B25+C25-D25+F25</f>
        <v/>
      </c>
      <c r="H25" s="20">
        <f>IF(ISNUMBER(O24), O24, Assumptions!$C$13)</f>
        <v/>
      </c>
      <c r="I25" s="20">
        <f>Data_Feed_Daily!G25</f>
        <v/>
      </c>
      <c r="J25" s="20">
        <f>H25+I25-F25</f>
        <v/>
      </c>
      <c r="K25" s="20">
        <f>IF(J25&lt;Assumptions!$C$10, MIN(Assumptions!$C$10-J25, Assumptions!$C$9-IF(ISNUMBER(M24), M24, Assumptions!$C$15)), 0)</f>
        <v/>
      </c>
      <c r="L25" s="20">
        <f>IF(AND(J25&gt;Assumptions!$C$11, IF(ISNUMBER(M24), M24, Assumptions!$C$15)&gt;0), MIN(J25-Assumptions!$C$11, IF(ISNUMBER(M24), M24, Assumptions!$C$15)), 0)</f>
        <v/>
      </c>
      <c r="M25" s="20">
        <f>IF(ISNUMBER(M24), M24, Assumptions!$C$15)+K25-L25</f>
        <v/>
      </c>
      <c r="N25" s="20">
        <f>ROUND(M25*(Assumptions!$C$19/Assumptions!$C$8), 2)</f>
        <v/>
      </c>
      <c r="O25" s="20">
        <f>J25+K25-L25-N25</f>
        <v/>
      </c>
      <c r="P25" s="20">
        <f>O25+(Assumptions!$C$9-M25)</f>
        <v/>
      </c>
      <c r="Q25" s="20">
        <f>P25-Assumptions!$C$10</f>
        <v/>
      </c>
      <c r="R25" s="22">
        <f>IF(Q25&lt;Assumptions!$C$12, "ALERT TRIGGERED", "COMPLIANT")</f>
        <v/>
      </c>
    </row>
    <row r="26">
      <c r="A26" s="17">
        <f>Data_Feed_Daily!A26</f>
        <v/>
      </c>
      <c r="B26" s="18">
        <f>IF(ISNUMBER(G25), G25, Assumptions!$C$14)</f>
        <v/>
      </c>
      <c r="C26" s="18">
        <f>Data_Feed_Daily!C26</f>
        <v/>
      </c>
      <c r="D26" s="18">
        <f>Data_Feed_Daily!E26-Data_Feed_Daily!F26</f>
        <v/>
      </c>
      <c r="E26" s="18">
        <f>C26-D26-Data_Feed_Daily!D26</f>
        <v/>
      </c>
      <c r="F26" s="18">
        <f>MAX(0, D26-(B26+C26))</f>
        <v/>
      </c>
      <c r="G26" s="18">
        <f>B26+C26-D26+F26</f>
        <v/>
      </c>
      <c r="H26" s="18">
        <f>IF(ISNUMBER(O25), O25, Assumptions!$C$13)</f>
        <v/>
      </c>
      <c r="I26" s="18">
        <f>Data_Feed_Daily!G26</f>
        <v/>
      </c>
      <c r="J26" s="18">
        <f>H26+I26-F26</f>
        <v/>
      </c>
      <c r="K26" s="18">
        <f>IF(J26&lt;Assumptions!$C$10, MIN(Assumptions!$C$10-J26, Assumptions!$C$9-IF(ISNUMBER(M25), M25, Assumptions!$C$15)), 0)</f>
        <v/>
      </c>
      <c r="L26" s="18">
        <f>IF(AND(J26&gt;Assumptions!$C$11, IF(ISNUMBER(M25), M25, Assumptions!$C$15)&gt;0), MIN(J26-Assumptions!$C$11, IF(ISNUMBER(M25), M25, Assumptions!$C$15)), 0)</f>
        <v/>
      </c>
      <c r="M26" s="18">
        <f>IF(ISNUMBER(M25), M25, Assumptions!$C$15)+K26-L26</f>
        <v/>
      </c>
      <c r="N26" s="18">
        <f>ROUND(M26*(Assumptions!$C$19/Assumptions!$C$8), 2)</f>
        <v/>
      </c>
      <c r="O26" s="18">
        <f>J26+K26-L26-N26</f>
        <v/>
      </c>
      <c r="P26" s="18">
        <f>O26+(Assumptions!$C$9-M26)</f>
        <v/>
      </c>
      <c r="Q26" s="18">
        <f>P26-Assumptions!$C$10</f>
        <v/>
      </c>
      <c r="R26" s="21">
        <f>IF(Q26&lt;Assumptions!$C$12, "ALERT TRIGGERED", "COMPLIANT")</f>
        <v/>
      </c>
    </row>
    <row r="27">
      <c r="A27" s="19">
        <f>Data_Feed_Daily!A27</f>
        <v/>
      </c>
      <c r="B27" s="20">
        <f>IF(ISNUMBER(G26), G26, Assumptions!$C$14)</f>
        <v/>
      </c>
      <c r="C27" s="20">
        <f>Data_Feed_Daily!C27</f>
        <v/>
      </c>
      <c r="D27" s="20">
        <f>Data_Feed_Daily!E27-Data_Feed_Daily!F27</f>
        <v/>
      </c>
      <c r="E27" s="20">
        <f>C27-D27-Data_Feed_Daily!D27</f>
        <v/>
      </c>
      <c r="F27" s="20">
        <f>MAX(0, D27-(B27+C27))</f>
        <v/>
      </c>
      <c r="G27" s="20">
        <f>B27+C27-D27+F27</f>
        <v/>
      </c>
      <c r="H27" s="20">
        <f>IF(ISNUMBER(O26), O26, Assumptions!$C$13)</f>
        <v/>
      </c>
      <c r="I27" s="20">
        <f>Data_Feed_Daily!G27</f>
        <v/>
      </c>
      <c r="J27" s="20">
        <f>H27+I27-F27</f>
        <v/>
      </c>
      <c r="K27" s="20">
        <f>IF(J27&lt;Assumptions!$C$10, MIN(Assumptions!$C$10-J27, Assumptions!$C$9-IF(ISNUMBER(M26), M26, Assumptions!$C$15)), 0)</f>
        <v/>
      </c>
      <c r="L27" s="20">
        <f>IF(AND(J27&gt;Assumptions!$C$11, IF(ISNUMBER(M26), M26, Assumptions!$C$15)&gt;0), MIN(J27-Assumptions!$C$11, IF(ISNUMBER(M26), M26, Assumptions!$C$15)), 0)</f>
        <v/>
      </c>
      <c r="M27" s="20">
        <f>IF(ISNUMBER(M26), M26, Assumptions!$C$15)+K27-L27</f>
        <v/>
      </c>
      <c r="N27" s="20">
        <f>ROUND(M27*(Assumptions!$C$19/Assumptions!$C$8), 2)</f>
        <v/>
      </c>
      <c r="O27" s="20">
        <f>J27+K27-L27-N27</f>
        <v/>
      </c>
      <c r="P27" s="20">
        <f>O27+(Assumptions!$C$9-M27)</f>
        <v/>
      </c>
      <c r="Q27" s="20">
        <f>P27-Assumptions!$C$10</f>
        <v/>
      </c>
      <c r="R27" s="22">
        <f>IF(Q27&lt;Assumptions!$C$12, "ALERT TRIGGERED", "COMPLIANT")</f>
        <v/>
      </c>
    </row>
    <row r="28">
      <c r="A28" s="17">
        <f>Data_Feed_Daily!A28</f>
        <v/>
      </c>
      <c r="B28" s="18">
        <f>IF(ISNUMBER(G27), G27, Assumptions!$C$14)</f>
        <v/>
      </c>
      <c r="C28" s="18">
        <f>Data_Feed_Daily!C28</f>
        <v/>
      </c>
      <c r="D28" s="18">
        <f>Data_Feed_Daily!E28-Data_Feed_Daily!F28</f>
        <v/>
      </c>
      <c r="E28" s="18">
        <f>C28-D28-Data_Feed_Daily!D28</f>
        <v/>
      </c>
      <c r="F28" s="18">
        <f>MAX(0, D28-(B28+C28))</f>
        <v/>
      </c>
      <c r="G28" s="18">
        <f>B28+C28-D28+F28</f>
        <v/>
      </c>
      <c r="H28" s="18">
        <f>IF(ISNUMBER(O27), O27, Assumptions!$C$13)</f>
        <v/>
      </c>
      <c r="I28" s="18">
        <f>Data_Feed_Daily!G28</f>
        <v/>
      </c>
      <c r="J28" s="18">
        <f>H28+I28-F28</f>
        <v/>
      </c>
      <c r="K28" s="18">
        <f>IF(J28&lt;Assumptions!$C$10, MIN(Assumptions!$C$10-J28, Assumptions!$C$9-IF(ISNUMBER(M27), M27, Assumptions!$C$15)), 0)</f>
        <v/>
      </c>
      <c r="L28" s="18">
        <f>IF(AND(J28&gt;Assumptions!$C$11, IF(ISNUMBER(M27), M27, Assumptions!$C$15)&gt;0), MIN(J28-Assumptions!$C$11, IF(ISNUMBER(M27), M27, Assumptions!$C$15)), 0)</f>
        <v/>
      </c>
      <c r="M28" s="18">
        <f>IF(ISNUMBER(M27), M27, Assumptions!$C$15)+K28-L28</f>
        <v/>
      </c>
      <c r="N28" s="18">
        <f>ROUND(M28*(Assumptions!$C$19/Assumptions!$C$8), 2)</f>
        <v/>
      </c>
      <c r="O28" s="18">
        <f>J28+K28-L28-N28</f>
        <v/>
      </c>
      <c r="P28" s="18">
        <f>O28+(Assumptions!$C$9-M28)</f>
        <v/>
      </c>
      <c r="Q28" s="18">
        <f>P28-Assumptions!$C$10</f>
        <v/>
      </c>
      <c r="R28" s="21">
        <f>IF(Q28&lt;Assumptions!$C$12, "ALERT TRIGGERED", "COMPLIANT")</f>
        <v/>
      </c>
    </row>
    <row r="29">
      <c r="A29" s="19">
        <f>Data_Feed_Daily!A29</f>
        <v/>
      </c>
      <c r="B29" s="20">
        <f>IF(ISNUMBER(G28), G28, Assumptions!$C$14)</f>
        <v/>
      </c>
      <c r="C29" s="20">
        <f>Data_Feed_Daily!C29</f>
        <v/>
      </c>
      <c r="D29" s="20">
        <f>Data_Feed_Daily!E29-Data_Feed_Daily!F29</f>
        <v/>
      </c>
      <c r="E29" s="20">
        <f>C29-D29-Data_Feed_Daily!D29</f>
        <v/>
      </c>
      <c r="F29" s="20">
        <f>MAX(0, D29-(B29+C29))</f>
        <v/>
      </c>
      <c r="G29" s="20">
        <f>B29+C29-D29+F29</f>
        <v/>
      </c>
      <c r="H29" s="20">
        <f>IF(ISNUMBER(O28), O28, Assumptions!$C$13)</f>
        <v/>
      </c>
      <c r="I29" s="20">
        <f>Data_Feed_Daily!G29</f>
        <v/>
      </c>
      <c r="J29" s="20">
        <f>H29+I29-F29</f>
        <v/>
      </c>
      <c r="K29" s="20">
        <f>IF(J29&lt;Assumptions!$C$10, MIN(Assumptions!$C$10-J29, Assumptions!$C$9-IF(ISNUMBER(M28), M28, Assumptions!$C$15)), 0)</f>
        <v/>
      </c>
      <c r="L29" s="20">
        <f>IF(AND(J29&gt;Assumptions!$C$11, IF(ISNUMBER(M28), M28, Assumptions!$C$15)&gt;0), MIN(J29-Assumptions!$C$11, IF(ISNUMBER(M28), M28, Assumptions!$C$15)), 0)</f>
        <v/>
      </c>
      <c r="M29" s="20">
        <f>IF(ISNUMBER(M28), M28, Assumptions!$C$15)+K29-L29</f>
        <v/>
      </c>
      <c r="N29" s="20">
        <f>ROUND(M29*(Assumptions!$C$19/Assumptions!$C$8), 2)</f>
        <v/>
      </c>
      <c r="O29" s="20">
        <f>J29+K29-L29-N29</f>
        <v/>
      </c>
      <c r="P29" s="20">
        <f>O29+(Assumptions!$C$9-M29)</f>
        <v/>
      </c>
      <c r="Q29" s="20">
        <f>P29-Assumptions!$C$10</f>
        <v/>
      </c>
      <c r="R29" s="22">
        <f>IF(Q29&lt;Assumptions!$C$12, "ALERT TRIGGERED", "COMPLIANT")</f>
        <v/>
      </c>
    </row>
    <row r="30">
      <c r="A30" s="17">
        <f>Data_Feed_Daily!A30</f>
        <v/>
      </c>
      <c r="B30" s="18">
        <f>IF(ISNUMBER(G29), G29, Assumptions!$C$14)</f>
        <v/>
      </c>
      <c r="C30" s="18">
        <f>Data_Feed_Daily!C30</f>
        <v/>
      </c>
      <c r="D30" s="18">
        <f>Data_Feed_Daily!E30-Data_Feed_Daily!F30</f>
        <v/>
      </c>
      <c r="E30" s="18">
        <f>C30-D30-Data_Feed_Daily!D30</f>
        <v/>
      </c>
      <c r="F30" s="18">
        <f>MAX(0, D30-(B30+C30))</f>
        <v/>
      </c>
      <c r="G30" s="18">
        <f>B30+C30-D30+F30</f>
        <v/>
      </c>
      <c r="H30" s="18">
        <f>IF(ISNUMBER(O29), O29, Assumptions!$C$13)</f>
        <v/>
      </c>
      <c r="I30" s="18">
        <f>Data_Feed_Daily!G30</f>
        <v/>
      </c>
      <c r="J30" s="18">
        <f>H30+I30-F30</f>
        <v/>
      </c>
      <c r="K30" s="18">
        <f>IF(J30&lt;Assumptions!$C$10, MIN(Assumptions!$C$10-J30, Assumptions!$C$9-IF(ISNUMBER(M29), M29, Assumptions!$C$15)), 0)</f>
        <v/>
      </c>
      <c r="L30" s="18">
        <f>IF(AND(J30&gt;Assumptions!$C$11, IF(ISNUMBER(M29), M29, Assumptions!$C$15)&gt;0), MIN(J30-Assumptions!$C$11, IF(ISNUMBER(M29), M29, Assumptions!$C$15)), 0)</f>
        <v/>
      </c>
      <c r="M30" s="18">
        <f>IF(ISNUMBER(M29), M29, Assumptions!$C$15)+K30-L30</f>
        <v/>
      </c>
      <c r="N30" s="18">
        <f>ROUND(M30*(Assumptions!$C$19/Assumptions!$C$8), 2)</f>
        <v/>
      </c>
      <c r="O30" s="18">
        <f>J30+K30-L30-N30</f>
        <v/>
      </c>
      <c r="P30" s="18">
        <f>O30+(Assumptions!$C$9-M30)</f>
        <v/>
      </c>
      <c r="Q30" s="18">
        <f>P30-Assumptions!$C$10</f>
        <v/>
      </c>
      <c r="R30" s="21">
        <f>IF(Q30&lt;Assumptions!$C$12, "ALERT TRIGGERED", "COMPLIANT")</f>
        <v/>
      </c>
    </row>
    <row r="31">
      <c r="A31" s="19">
        <f>Data_Feed_Daily!A31</f>
        <v/>
      </c>
      <c r="B31" s="20">
        <f>IF(ISNUMBER(G30), G30, Assumptions!$C$14)</f>
        <v/>
      </c>
      <c r="C31" s="20">
        <f>Data_Feed_Daily!C31</f>
        <v/>
      </c>
      <c r="D31" s="20">
        <f>Data_Feed_Daily!E31-Data_Feed_Daily!F31</f>
        <v/>
      </c>
      <c r="E31" s="20">
        <f>C31-D31-Data_Feed_Daily!D31</f>
        <v/>
      </c>
      <c r="F31" s="20">
        <f>MAX(0, D31-(B31+C31))</f>
        <v/>
      </c>
      <c r="G31" s="20">
        <f>B31+C31-D31+F31</f>
        <v/>
      </c>
      <c r="H31" s="20">
        <f>IF(ISNUMBER(O30), O30, Assumptions!$C$13)</f>
        <v/>
      </c>
      <c r="I31" s="20">
        <f>Data_Feed_Daily!G31</f>
        <v/>
      </c>
      <c r="J31" s="20">
        <f>H31+I31-F31</f>
        <v/>
      </c>
      <c r="K31" s="20">
        <f>IF(J31&lt;Assumptions!$C$10, MIN(Assumptions!$C$10-J31, Assumptions!$C$9-IF(ISNUMBER(M30), M30, Assumptions!$C$15)), 0)</f>
        <v/>
      </c>
      <c r="L31" s="20">
        <f>IF(AND(J31&gt;Assumptions!$C$11, IF(ISNUMBER(M30), M30, Assumptions!$C$15)&gt;0), MIN(J31-Assumptions!$C$11, IF(ISNUMBER(M30), M30, Assumptions!$C$15)), 0)</f>
        <v/>
      </c>
      <c r="M31" s="20">
        <f>IF(ISNUMBER(M30), M30, Assumptions!$C$15)+K31-L31</f>
        <v/>
      </c>
      <c r="N31" s="20">
        <f>ROUND(M31*(Assumptions!$C$19/Assumptions!$C$8), 2)</f>
        <v/>
      </c>
      <c r="O31" s="20">
        <f>J31+K31-L31-N31</f>
        <v/>
      </c>
      <c r="P31" s="20">
        <f>O31+(Assumptions!$C$9-M31)</f>
        <v/>
      </c>
      <c r="Q31" s="20">
        <f>P31-Assumptions!$C$10</f>
        <v/>
      </c>
      <c r="R31" s="22">
        <f>IF(Q31&lt;Assumptions!$C$12, "ALERT TRIGGERED", "COMPLIANT")</f>
        <v/>
      </c>
    </row>
    <row r="32">
      <c r="A32" s="17">
        <f>Data_Feed_Daily!A32</f>
        <v/>
      </c>
      <c r="B32" s="18">
        <f>IF(ISNUMBER(G31), G31, Assumptions!$C$14)</f>
        <v/>
      </c>
      <c r="C32" s="18">
        <f>Data_Feed_Daily!C32</f>
        <v/>
      </c>
      <c r="D32" s="18">
        <f>Data_Feed_Daily!E32-Data_Feed_Daily!F32</f>
        <v/>
      </c>
      <c r="E32" s="18">
        <f>C32-D32-Data_Feed_Daily!D32</f>
        <v/>
      </c>
      <c r="F32" s="18">
        <f>MAX(0, D32-(B32+C32))</f>
        <v/>
      </c>
      <c r="G32" s="18">
        <f>B32+C32-D32+F32</f>
        <v/>
      </c>
      <c r="H32" s="18">
        <f>IF(ISNUMBER(O31), O31, Assumptions!$C$13)</f>
        <v/>
      </c>
      <c r="I32" s="18">
        <f>Data_Feed_Daily!G32</f>
        <v/>
      </c>
      <c r="J32" s="18">
        <f>H32+I32-F32</f>
        <v/>
      </c>
      <c r="K32" s="18">
        <f>IF(J32&lt;Assumptions!$C$10, MIN(Assumptions!$C$10-J32, Assumptions!$C$9-IF(ISNUMBER(M31), M31, Assumptions!$C$15)), 0)</f>
        <v/>
      </c>
      <c r="L32" s="18">
        <f>IF(AND(J32&gt;Assumptions!$C$11, IF(ISNUMBER(M31), M31, Assumptions!$C$15)&gt;0), MIN(J32-Assumptions!$C$11, IF(ISNUMBER(M31), M31, Assumptions!$C$15)), 0)</f>
        <v/>
      </c>
      <c r="M32" s="18">
        <f>IF(ISNUMBER(M31), M31, Assumptions!$C$15)+K32-L32</f>
        <v/>
      </c>
      <c r="N32" s="18">
        <f>ROUND(M32*(Assumptions!$C$19/Assumptions!$C$8), 2)</f>
        <v/>
      </c>
      <c r="O32" s="18">
        <f>J32+K32-L32-N32</f>
        <v/>
      </c>
      <c r="P32" s="18">
        <f>O32+(Assumptions!$C$9-M32)</f>
        <v/>
      </c>
      <c r="Q32" s="18">
        <f>P32-Assumptions!$C$10</f>
        <v/>
      </c>
      <c r="R32" s="21">
        <f>IF(Q32&lt;Assumptions!$C$12, "ALERT TRIGGERED", "COMPLIANT")</f>
        <v/>
      </c>
    </row>
    <row r="33">
      <c r="A33" s="19">
        <f>Data_Feed_Daily!A33</f>
        <v/>
      </c>
      <c r="B33" s="20">
        <f>IF(ISNUMBER(G32), G32, Assumptions!$C$14)</f>
        <v/>
      </c>
      <c r="C33" s="20">
        <f>Data_Feed_Daily!C33</f>
        <v/>
      </c>
      <c r="D33" s="20">
        <f>Data_Feed_Daily!E33-Data_Feed_Daily!F33</f>
        <v/>
      </c>
      <c r="E33" s="20">
        <f>C33-D33-Data_Feed_Daily!D33</f>
        <v/>
      </c>
      <c r="F33" s="20">
        <f>MAX(0, D33-(B33+C33))</f>
        <v/>
      </c>
      <c r="G33" s="20">
        <f>B33+C33-D33+F33</f>
        <v/>
      </c>
      <c r="H33" s="20">
        <f>IF(ISNUMBER(O32), O32, Assumptions!$C$13)</f>
        <v/>
      </c>
      <c r="I33" s="20">
        <f>Data_Feed_Daily!G33</f>
        <v/>
      </c>
      <c r="J33" s="20">
        <f>H33+I33-F33</f>
        <v/>
      </c>
      <c r="K33" s="20">
        <f>IF(J33&lt;Assumptions!$C$10, MIN(Assumptions!$C$10-J33, Assumptions!$C$9-IF(ISNUMBER(M32), M32, Assumptions!$C$15)), 0)</f>
        <v/>
      </c>
      <c r="L33" s="20">
        <f>IF(AND(J33&gt;Assumptions!$C$11, IF(ISNUMBER(M32), M32, Assumptions!$C$15)&gt;0), MIN(J33-Assumptions!$C$11, IF(ISNUMBER(M32), M32, Assumptions!$C$15)), 0)</f>
        <v/>
      </c>
      <c r="M33" s="20">
        <f>IF(ISNUMBER(M32), M32, Assumptions!$C$15)+K33-L33</f>
        <v/>
      </c>
      <c r="N33" s="20">
        <f>ROUND(M33*(Assumptions!$C$19/Assumptions!$C$8), 2)</f>
        <v/>
      </c>
      <c r="O33" s="20">
        <f>J33+K33-L33-N33</f>
        <v/>
      </c>
      <c r="P33" s="20">
        <f>O33+(Assumptions!$C$9-M33)</f>
        <v/>
      </c>
      <c r="Q33" s="20">
        <f>P33-Assumptions!$C$10</f>
        <v/>
      </c>
      <c r="R33" s="22">
        <f>IF(Q33&lt;Assumptions!$C$12, "ALERT TRIGGERED", "COMPLIANT")</f>
        <v/>
      </c>
    </row>
    <row r="34">
      <c r="A34" s="17">
        <f>Data_Feed_Daily!A34</f>
        <v/>
      </c>
      <c r="B34" s="18">
        <f>IF(ISNUMBER(G33), G33, Assumptions!$C$14)</f>
        <v/>
      </c>
      <c r="C34" s="18">
        <f>Data_Feed_Daily!C34</f>
        <v/>
      </c>
      <c r="D34" s="18">
        <f>Data_Feed_Daily!E34-Data_Feed_Daily!F34</f>
        <v/>
      </c>
      <c r="E34" s="18">
        <f>C34-D34-Data_Feed_Daily!D34</f>
        <v/>
      </c>
      <c r="F34" s="18">
        <f>MAX(0, D34-(B34+C34))</f>
        <v/>
      </c>
      <c r="G34" s="18">
        <f>B34+C34-D34+F34</f>
        <v/>
      </c>
      <c r="H34" s="18">
        <f>IF(ISNUMBER(O33), O33, Assumptions!$C$13)</f>
        <v/>
      </c>
      <c r="I34" s="18">
        <f>Data_Feed_Daily!G34</f>
        <v/>
      </c>
      <c r="J34" s="18">
        <f>H34+I34-F34</f>
        <v/>
      </c>
      <c r="K34" s="18">
        <f>IF(J34&lt;Assumptions!$C$10, MIN(Assumptions!$C$10-J34, Assumptions!$C$9-IF(ISNUMBER(M33), M33, Assumptions!$C$15)), 0)</f>
        <v/>
      </c>
      <c r="L34" s="18">
        <f>IF(AND(J34&gt;Assumptions!$C$11, IF(ISNUMBER(M33), M33, Assumptions!$C$15)&gt;0), MIN(J34-Assumptions!$C$11, IF(ISNUMBER(M33), M33, Assumptions!$C$15)), 0)</f>
        <v/>
      </c>
      <c r="M34" s="18">
        <f>IF(ISNUMBER(M33), M33, Assumptions!$C$15)+K34-L34</f>
        <v/>
      </c>
      <c r="N34" s="18">
        <f>ROUND(M34*(Assumptions!$C$19/Assumptions!$C$8), 2)</f>
        <v/>
      </c>
      <c r="O34" s="18">
        <f>J34+K34-L34-N34</f>
        <v/>
      </c>
      <c r="P34" s="18">
        <f>O34+(Assumptions!$C$9-M34)</f>
        <v/>
      </c>
      <c r="Q34" s="18">
        <f>P34-Assumptions!$C$10</f>
        <v/>
      </c>
      <c r="R34" s="21">
        <f>IF(Q34&lt;Assumptions!$C$12, "ALERT TRIGGERED", "COMPLIANT")</f>
        <v/>
      </c>
    </row>
    <row r="35">
      <c r="A35" s="19">
        <f>Data_Feed_Daily!A35</f>
        <v/>
      </c>
      <c r="B35" s="20">
        <f>IF(ISNUMBER(G34), G34, Assumptions!$C$14)</f>
        <v/>
      </c>
      <c r="C35" s="20">
        <f>Data_Feed_Daily!C35</f>
        <v/>
      </c>
      <c r="D35" s="20">
        <f>Data_Feed_Daily!E35-Data_Feed_Daily!F35</f>
        <v/>
      </c>
      <c r="E35" s="20">
        <f>C35-D35-Data_Feed_Daily!D35</f>
        <v/>
      </c>
      <c r="F35" s="20">
        <f>MAX(0, D35-(B35+C35))</f>
        <v/>
      </c>
      <c r="G35" s="20">
        <f>B35+C35-D35+F35</f>
        <v/>
      </c>
      <c r="H35" s="20">
        <f>IF(ISNUMBER(O34), O34, Assumptions!$C$13)</f>
        <v/>
      </c>
      <c r="I35" s="20">
        <f>Data_Feed_Daily!G35</f>
        <v/>
      </c>
      <c r="J35" s="20">
        <f>H35+I35-F35</f>
        <v/>
      </c>
      <c r="K35" s="20">
        <f>IF(J35&lt;Assumptions!$C$10, MIN(Assumptions!$C$10-J35, Assumptions!$C$9-IF(ISNUMBER(M34), M34, Assumptions!$C$15)), 0)</f>
        <v/>
      </c>
      <c r="L35" s="20">
        <f>IF(AND(J35&gt;Assumptions!$C$11, IF(ISNUMBER(M34), M34, Assumptions!$C$15)&gt;0), MIN(J35-Assumptions!$C$11, IF(ISNUMBER(M34), M34, Assumptions!$C$15)), 0)</f>
        <v/>
      </c>
      <c r="M35" s="20">
        <f>IF(ISNUMBER(M34), M34, Assumptions!$C$15)+K35-L35</f>
        <v/>
      </c>
      <c r="N35" s="20">
        <f>ROUND(M35*(Assumptions!$C$19/Assumptions!$C$8), 2)</f>
        <v/>
      </c>
      <c r="O35" s="20">
        <f>J35+K35-L35-N35</f>
        <v/>
      </c>
      <c r="P35" s="20">
        <f>O35+(Assumptions!$C$9-M35)</f>
        <v/>
      </c>
      <c r="Q35" s="20">
        <f>P35-Assumptions!$C$10</f>
        <v/>
      </c>
      <c r="R35" s="22">
        <f>IF(Q35&lt;Assumptions!$C$12, "ALERT TRIGGERED", "COMPLIANT")</f>
        <v/>
      </c>
    </row>
    <row r="36">
      <c r="A36" s="17">
        <f>Data_Feed_Daily!A36</f>
        <v/>
      </c>
      <c r="B36" s="18">
        <f>IF(ISNUMBER(G35), G35, Assumptions!$C$14)</f>
        <v/>
      </c>
      <c r="C36" s="18">
        <f>Data_Feed_Daily!C36</f>
        <v/>
      </c>
      <c r="D36" s="18">
        <f>Data_Feed_Daily!E36-Data_Feed_Daily!F36</f>
        <v/>
      </c>
      <c r="E36" s="18">
        <f>C36-D36-Data_Feed_Daily!D36</f>
        <v/>
      </c>
      <c r="F36" s="18">
        <f>MAX(0, D36-(B36+C36))</f>
        <v/>
      </c>
      <c r="G36" s="18">
        <f>B36+C36-D36+F36</f>
        <v/>
      </c>
      <c r="H36" s="18">
        <f>IF(ISNUMBER(O35), O35, Assumptions!$C$13)</f>
        <v/>
      </c>
      <c r="I36" s="18">
        <f>Data_Feed_Daily!G36</f>
        <v/>
      </c>
      <c r="J36" s="18">
        <f>H36+I36-F36</f>
        <v/>
      </c>
      <c r="K36" s="18">
        <f>IF(J36&lt;Assumptions!$C$10, MIN(Assumptions!$C$10-J36, Assumptions!$C$9-IF(ISNUMBER(M35), M35, Assumptions!$C$15)), 0)</f>
        <v/>
      </c>
      <c r="L36" s="18">
        <f>IF(AND(J36&gt;Assumptions!$C$11, IF(ISNUMBER(M35), M35, Assumptions!$C$15)&gt;0), MIN(J36-Assumptions!$C$11, IF(ISNUMBER(M35), M35, Assumptions!$C$15)), 0)</f>
        <v/>
      </c>
      <c r="M36" s="18">
        <f>IF(ISNUMBER(M35), M35, Assumptions!$C$15)+K36-L36</f>
        <v/>
      </c>
      <c r="N36" s="18">
        <f>ROUND(M36*(Assumptions!$C$19/Assumptions!$C$8), 2)</f>
        <v/>
      </c>
      <c r="O36" s="18">
        <f>J36+K36-L36-N36</f>
        <v/>
      </c>
      <c r="P36" s="18">
        <f>O36+(Assumptions!$C$9-M36)</f>
        <v/>
      </c>
      <c r="Q36" s="18">
        <f>P36-Assumptions!$C$10</f>
        <v/>
      </c>
      <c r="R36" s="21">
        <f>IF(Q36&lt;Assumptions!$C$12, "ALERT TRIGGERED", "COMPLIANT")</f>
        <v/>
      </c>
    </row>
    <row r="37">
      <c r="A37" s="19">
        <f>Data_Feed_Daily!A37</f>
        <v/>
      </c>
      <c r="B37" s="20">
        <f>IF(ISNUMBER(G36), G36, Assumptions!$C$14)</f>
        <v/>
      </c>
      <c r="C37" s="20">
        <f>Data_Feed_Daily!C37</f>
        <v/>
      </c>
      <c r="D37" s="20">
        <f>Data_Feed_Daily!E37-Data_Feed_Daily!F37</f>
        <v/>
      </c>
      <c r="E37" s="20">
        <f>C37-D37-Data_Feed_Daily!D37</f>
        <v/>
      </c>
      <c r="F37" s="20">
        <f>MAX(0, D37-(B37+C37))</f>
        <v/>
      </c>
      <c r="G37" s="20">
        <f>B37+C37-D37+F37</f>
        <v/>
      </c>
      <c r="H37" s="20">
        <f>IF(ISNUMBER(O36), O36, Assumptions!$C$13)</f>
        <v/>
      </c>
      <c r="I37" s="20">
        <f>Data_Feed_Daily!G37</f>
        <v/>
      </c>
      <c r="J37" s="20">
        <f>H37+I37-F37</f>
        <v/>
      </c>
      <c r="K37" s="20">
        <f>IF(J37&lt;Assumptions!$C$10, MIN(Assumptions!$C$10-J37, Assumptions!$C$9-IF(ISNUMBER(M36), M36, Assumptions!$C$15)), 0)</f>
        <v/>
      </c>
      <c r="L37" s="20">
        <f>IF(AND(J37&gt;Assumptions!$C$11, IF(ISNUMBER(M36), M36, Assumptions!$C$15)&gt;0), MIN(J37-Assumptions!$C$11, IF(ISNUMBER(M36), M36, Assumptions!$C$15)), 0)</f>
        <v/>
      </c>
      <c r="M37" s="20">
        <f>IF(ISNUMBER(M36), M36, Assumptions!$C$15)+K37-L37</f>
        <v/>
      </c>
      <c r="N37" s="20">
        <f>ROUND(M37*(Assumptions!$C$19/Assumptions!$C$8), 2)</f>
        <v/>
      </c>
      <c r="O37" s="20">
        <f>J37+K37-L37-N37</f>
        <v/>
      </c>
      <c r="P37" s="20">
        <f>O37+(Assumptions!$C$9-M37)</f>
        <v/>
      </c>
      <c r="Q37" s="20">
        <f>P37-Assumptions!$C$10</f>
        <v/>
      </c>
      <c r="R37" s="22">
        <f>IF(Q37&lt;Assumptions!$C$12, "ALERT TRIGGERED", "COMPLIANT")</f>
        <v/>
      </c>
    </row>
    <row r="38">
      <c r="A38" s="17">
        <f>Data_Feed_Daily!A38</f>
        <v/>
      </c>
      <c r="B38" s="18">
        <f>IF(ISNUMBER(G37), G37, Assumptions!$C$14)</f>
        <v/>
      </c>
      <c r="C38" s="18">
        <f>Data_Feed_Daily!C38</f>
        <v/>
      </c>
      <c r="D38" s="18">
        <f>Data_Feed_Daily!E38-Data_Feed_Daily!F38</f>
        <v/>
      </c>
      <c r="E38" s="18">
        <f>C38-D38-Data_Feed_Daily!D38</f>
        <v/>
      </c>
      <c r="F38" s="18">
        <f>MAX(0, D38-(B38+C38))</f>
        <v/>
      </c>
      <c r="G38" s="18">
        <f>B38+C38-D38+F38</f>
        <v/>
      </c>
      <c r="H38" s="18">
        <f>IF(ISNUMBER(O37), O37, Assumptions!$C$13)</f>
        <v/>
      </c>
      <c r="I38" s="18">
        <f>Data_Feed_Daily!G38</f>
        <v/>
      </c>
      <c r="J38" s="18">
        <f>H38+I38-F38</f>
        <v/>
      </c>
      <c r="K38" s="18">
        <f>IF(J38&lt;Assumptions!$C$10, MIN(Assumptions!$C$10-J38, Assumptions!$C$9-IF(ISNUMBER(M37), M37, Assumptions!$C$15)), 0)</f>
        <v/>
      </c>
      <c r="L38" s="18">
        <f>IF(AND(J38&gt;Assumptions!$C$11, IF(ISNUMBER(M37), M37, Assumptions!$C$15)&gt;0), MIN(J38-Assumptions!$C$11, IF(ISNUMBER(M37), M37, Assumptions!$C$15)), 0)</f>
        <v/>
      </c>
      <c r="M38" s="18">
        <f>IF(ISNUMBER(M37), M37, Assumptions!$C$15)+K38-L38</f>
        <v/>
      </c>
      <c r="N38" s="18">
        <f>ROUND(M38*(Assumptions!$C$19/Assumptions!$C$8), 2)</f>
        <v/>
      </c>
      <c r="O38" s="18">
        <f>J38+K38-L38-N38</f>
        <v/>
      </c>
      <c r="P38" s="18">
        <f>O38+(Assumptions!$C$9-M38)</f>
        <v/>
      </c>
      <c r="Q38" s="18">
        <f>P38-Assumptions!$C$10</f>
        <v/>
      </c>
      <c r="R38" s="21">
        <f>IF(Q38&lt;Assumptions!$C$12, "ALERT TRIGGERED", "COMPLIANT")</f>
        <v/>
      </c>
    </row>
    <row r="39">
      <c r="A39" s="19">
        <f>Data_Feed_Daily!A39</f>
        <v/>
      </c>
      <c r="B39" s="20">
        <f>IF(ISNUMBER(G38), G38, Assumptions!$C$14)</f>
        <v/>
      </c>
      <c r="C39" s="20">
        <f>Data_Feed_Daily!C39</f>
        <v/>
      </c>
      <c r="D39" s="20">
        <f>Data_Feed_Daily!E39-Data_Feed_Daily!F39</f>
        <v/>
      </c>
      <c r="E39" s="20">
        <f>C39-D39-Data_Feed_Daily!D39</f>
        <v/>
      </c>
      <c r="F39" s="20">
        <f>MAX(0, D39-(B39+C39))</f>
        <v/>
      </c>
      <c r="G39" s="20">
        <f>B39+C39-D39+F39</f>
        <v/>
      </c>
      <c r="H39" s="20">
        <f>IF(ISNUMBER(O38), O38, Assumptions!$C$13)</f>
        <v/>
      </c>
      <c r="I39" s="20">
        <f>Data_Feed_Daily!G39</f>
        <v/>
      </c>
      <c r="J39" s="20">
        <f>H39+I39-F39</f>
        <v/>
      </c>
      <c r="K39" s="20">
        <f>IF(J39&lt;Assumptions!$C$10, MIN(Assumptions!$C$10-J39, Assumptions!$C$9-IF(ISNUMBER(M38), M38, Assumptions!$C$15)), 0)</f>
        <v/>
      </c>
      <c r="L39" s="20">
        <f>IF(AND(J39&gt;Assumptions!$C$11, IF(ISNUMBER(M38), M38, Assumptions!$C$15)&gt;0), MIN(J39-Assumptions!$C$11, IF(ISNUMBER(M38), M38, Assumptions!$C$15)), 0)</f>
        <v/>
      </c>
      <c r="M39" s="20">
        <f>IF(ISNUMBER(M38), M38, Assumptions!$C$15)+K39-L39</f>
        <v/>
      </c>
      <c r="N39" s="20">
        <f>ROUND(M39*(Assumptions!$C$19/Assumptions!$C$8), 2)</f>
        <v/>
      </c>
      <c r="O39" s="20">
        <f>J39+K39-L39-N39</f>
        <v/>
      </c>
      <c r="P39" s="20">
        <f>O39+(Assumptions!$C$9-M39)</f>
        <v/>
      </c>
      <c r="Q39" s="20">
        <f>P39-Assumptions!$C$10</f>
        <v/>
      </c>
      <c r="R39" s="22">
        <f>IF(Q39&lt;Assumptions!$C$12, "ALERT TRIGGERED", "COMPLIANT")</f>
        <v/>
      </c>
    </row>
    <row r="40">
      <c r="A40" s="17">
        <f>Data_Feed_Daily!A40</f>
        <v/>
      </c>
      <c r="B40" s="18">
        <f>IF(ISNUMBER(G39), G39, Assumptions!$C$14)</f>
        <v/>
      </c>
      <c r="C40" s="18">
        <f>Data_Feed_Daily!C40</f>
        <v/>
      </c>
      <c r="D40" s="18">
        <f>Data_Feed_Daily!E40-Data_Feed_Daily!F40</f>
        <v/>
      </c>
      <c r="E40" s="18">
        <f>C40-D40-Data_Feed_Daily!D40</f>
        <v/>
      </c>
      <c r="F40" s="18">
        <f>MAX(0, D40-(B40+C40))</f>
        <v/>
      </c>
      <c r="G40" s="18">
        <f>B40+C40-D40+F40</f>
        <v/>
      </c>
      <c r="H40" s="18">
        <f>IF(ISNUMBER(O39), O39, Assumptions!$C$13)</f>
        <v/>
      </c>
      <c r="I40" s="18">
        <f>Data_Feed_Daily!G40</f>
        <v/>
      </c>
      <c r="J40" s="18">
        <f>H40+I40-F40</f>
        <v/>
      </c>
      <c r="K40" s="18">
        <f>IF(J40&lt;Assumptions!$C$10, MIN(Assumptions!$C$10-J40, Assumptions!$C$9-IF(ISNUMBER(M39), M39, Assumptions!$C$15)), 0)</f>
        <v/>
      </c>
      <c r="L40" s="18">
        <f>IF(AND(J40&gt;Assumptions!$C$11, IF(ISNUMBER(M39), M39, Assumptions!$C$15)&gt;0), MIN(J40-Assumptions!$C$11, IF(ISNUMBER(M39), M39, Assumptions!$C$15)), 0)</f>
        <v/>
      </c>
      <c r="M40" s="18">
        <f>IF(ISNUMBER(M39), M39, Assumptions!$C$15)+K40-L40</f>
        <v/>
      </c>
      <c r="N40" s="18">
        <f>ROUND(M40*(Assumptions!$C$19/Assumptions!$C$8), 2)</f>
        <v/>
      </c>
      <c r="O40" s="18">
        <f>J40+K40-L40-N40</f>
        <v/>
      </c>
      <c r="P40" s="18">
        <f>O40+(Assumptions!$C$9-M40)</f>
        <v/>
      </c>
      <c r="Q40" s="18">
        <f>P40-Assumptions!$C$10</f>
        <v/>
      </c>
      <c r="R40" s="21">
        <f>IF(Q40&lt;Assumptions!$C$12, "ALERT TRIGGERED", "COMPLIANT")</f>
        <v/>
      </c>
    </row>
    <row r="41">
      <c r="A41" s="19">
        <f>Data_Feed_Daily!A41</f>
        <v/>
      </c>
      <c r="B41" s="20">
        <f>IF(ISNUMBER(G40), G40, Assumptions!$C$14)</f>
        <v/>
      </c>
      <c r="C41" s="20">
        <f>Data_Feed_Daily!C41</f>
        <v/>
      </c>
      <c r="D41" s="20">
        <f>Data_Feed_Daily!E41-Data_Feed_Daily!F41</f>
        <v/>
      </c>
      <c r="E41" s="20">
        <f>C41-D41-Data_Feed_Daily!D41</f>
        <v/>
      </c>
      <c r="F41" s="20">
        <f>MAX(0, D41-(B41+C41))</f>
        <v/>
      </c>
      <c r="G41" s="20">
        <f>B41+C41-D41+F41</f>
        <v/>
      </c>
      <c r="H41" s="20">
        <f>IF(ISNUMBER(O40), O40, Assumptions!$C$13)</f>
        <v/>
      </c>
      <c r="I41" s="20">
        <f>Data_Feed_Daily!G41</f>
        <v/>
      </c>
      <c r="J41" s="20">
        <f>H41+I41-F41</f>
        <v/>
      </c>
      <c r="K41" s="20">
        <f>IF(J41&lt;Assumptions!$C$10, MIN(Assumptions!$C$10-J41, Assumptions!$C$9-IF(ISNUMBER(M40), M40, Assumptions!$C$15)), 0)</f>
        <v/>
      </c>
      <c r="L41" s="20">
        <f>IF(AND(J41&gt;Assumptions!$C$11, IF(ISNUMBER(M40), M40, Assumptions!$C$15)&gt;0), MIN(J41-Assumptions!$C$11, IF(ISNUMBER(M40), M40, Assumptions!$C$15)), 0)</f>
        <v/>
      </c>
      <c r="M41" s="20">
        <f>IF(ISNUMBER(M40), M40, Assumptions!$C$15)+K41-L41</f>
        <v/>
      </c>
      <c r="N41" s="20">
        <f>ROUND(M41*(Assumptions!$C$19/Assumptions!$C$8), 2)</f>
        <v/>
      </c>
      <c r="O41" s="20">
        <f>J41+K41-L41-N41</f>
        <v/>
      </c>
      <c r="P41" s="20">
        <f>O41+(Assumptions!$C$9-M41)</f>
        <v/>
      </c>
      <c r="Q41" s="20">
        <f>P41-Assumptions!$C$10</f>
        <v/>
      </c>
      <c r="R41" s="22">
        <f>IF(Q41&lt;Assumptions!$C$12, "ALERT TRIGGERED", "COMPLIANT")</f>
        <v/>
      </c>
    </row>
    <row r="42">
      <c r="A42" s="17">
        <f>Data_Feed_Daily!A42</f>
        <v/>
      </c>
      <c r="B42" s="18">
        <f>IF(ISNUMBER(G41), G41, Assumptions!$C$14)</f>
        <v/>
      </c>
      <c r="C42" s="18">
        <f>Data_Feed_Daily!C42</f>
        <v/>
      </c>
      <c r="D42" s="18">
        <f>Data_Feed_Daily!E42-Data_Feed_Daily!F42</f>
        <v/>
      </c>
      <c r="E42" s="18">
        <f>C42-D42-Data_Feed_Daily!D42</f>
        <v/>
      </c>
      <c r="F42" s="18">
        <f>MAX(0, D42-(B42+C42))</f>
        <v/>
      </c>
      <c r="G42" s="18">
        <f>B42+C42-D42+F42</f>
        <v/>
      </c>
      <c r="H42" s="18">
        <f>IF(ISNUMBER(O41), O41, Assumptions!$C$13)</f>
        <v/>
      </c>
      <c r="I42" s="18">
        <f>Data_Feed_Daily!G42</f>
        <v/>
      </c>
      <c r="J42" s="18">
        <f>H42+I42-F42</f>
        <v/>
      </c>
      <c r="K42" s="18">
        <f>IF(J42&lt;Assumptions!$C$10, MIN(Assumptions!$C$10-J42, Assumptions!$C$9-IF(ISNUMBER(M41), M41, Assumptions!$C$15)), 0)</f>
        <v/>
      </c>
      <c r="L42" s="18">
        <f>IF(AND(J42&gt;Assumptions!$C$11, IF(ISNUMBER(M41), M41, Assumptions!$C$15)&gt;0), MIN(J42-Assumptions!$C$11, IF(ISNUMBER(M41), M41, Assumptions!$C$15)), 0)</f>
        <v/>
      </c>
      <c r="M42" s="18">
        <f>IF(ISNUMBER(M41), M41, Assumptions!$C$15)+K42-L42</f>
        <v/>
      </c>
      <c r="N42" s="18">
        <f>ROUND(M42*(Assumptions!$C$19/Assumptions!$C$8), 2)</f>
        <v/>
      </c>
      <c r="O42" s="18">
        <f>J42+K42-L42-N42</f>
        <v/>
      </c>
      <c r="P42" s="18">
        <f>O42+(Assumptions!$C$9-M42)</f>
        <v/>
      </c>
      <c r="Q42" s="18">
        <f>P42-Assumptions!$C$10</f>
        <v/>
      </c>
      <c r="R42" s="21">
        <f>IF(Q42&lt;Assumptions!$C$12, "ALERT TRIGGERED", "COMPLIANT")</f>
        <v/>
      </c>
    </row>
    <row r="43">
      <c r="A43" s="19">
        <f>Data_Feed_Daily!A43</f>
        <v/>
      </c>
      <c r="B43" s="20">
        <f>IF(ISNUMBER(G42), G42, Assumptions!$C$14)</f>
        <v/>
      </c>
      <c r="C43" s="20">
        <f>Data_Feed_Daily!C43</f>
        <v/>
      </c>
      <c r="D43" s="20">
        <f>Data_Feed_Daily!E43-Data_Feed_Daily!F43</f>
        <v/>
      </c>
      <c r="E43" s="20">
        <f>C43-D43-Data_Feed_Daily!D43</f>
        <v/>
      </c>
      <c r="F43" s="20">
        <f>MAX(0, D43-(B43+C43))</f>
        <v/>
      </c>
      <c r="G43" s="20">
        <f>B43+C43-D43+F43</f>
        <v/>
      </c>
      <c r="H43" s="20">
        <f>IF(ISNUMBER(O42), O42, Assumptions!$C$13)</f>
        <v/>
      </c>
      <c r="I43" s="20">
        <f>Data_Feed_Daily!G43</f>
        <v/>
      </c>
      <c r="J43" s="20">
        <f>H43+I43-F43</f>
        <v/>
      </c>
      <c r="K43" s="20">
        <f>IF(J43&lt;Assumptions!$C$10, MIN(Assumptions!$C$10-J43, Assumptions!$C$9-IF(ISNUMBER(M42), M42, Assumptions!$C$15)), 0)</f>
        <v/>
      </c>
      <c r="L43" s="20">
        <f>IF(AND(J43&gt;Assumptions!$C$11, IF(ISNUMBER(M42), M42, Assumptions!$C$15)&gt;0), MIN(J43-Assumptions!$C$11, IF(ISNUMBER(M42), M42, Assumptions!$C$15)), 0)</f>
        <v/>
      </c>
      <c r="M43" s="20">
        <f>IF(ISNUMBER(M42), M42, Assumptions!$C$15)+K43-L43</f>
        <v/>
      </c>
      <c r="N43" s="20">
        <f>ROUND(M43*(Assumptions!$C$19/Assumptions!$C$8), 2)</f>
        <v/>
      </c>
      <c r="O43" s="20">
        <f>J43+K43-L43-N43</f>
        <v/>
      </c>
      <c r="P43" s="20">
        <f>O43+(Assumptions!$C$9-M43)</f>
        <v/>
      </c>
      <c r="Q43" s="20">
        <f>P43-Assumptions!$C$10</f>
        <v/>
      </c>
      <c r="R43" s="22">
        <f>IF(Q43&lt;Assumptions!$C$12, "ALERT TRIGGERED", "COMPLIANT")</f>
        <v/>
      </c>
    </row>
    <row r="44">
      <c r="A44" s="17">
        <f>Data_Feed_Daily!A44</f>
        <v/>
      </c>
      <c r="B44" s="18">
        <f>IF(ISNUMBER(G43), G43, Assumptions!$C$14)</f>
        <v/>
      </c>
      <c r="C44" s="18">
        <f>Data_Feed_Daily!C44</f>
        <v/>
      </c>
      <c r="D44" s="18">
        <f>Data_Feed_Daily!E44-Data_Feed_Daily!F44</f>
        <v/>
      </c>
      <c r="E44" s="18">
        <f>C44-D44-Data_Feed_Daily!D44</f>
        <v/>
      </c>
      <c r="F44" s="18">
        <f>MAX(0, D44-(B44+C44))</f>
        <v/>
      </c>
      <c r="G44" s="18">
        <f>B44+C44-D44+F44</f>
        <v/>
      </c>
      <c r="H44" s="18">
        <f>IF(ISNUMBER(O43), O43, Assumptions!$C$13)</f>
        <v/>
      </c>
      <c r="I44" s="18">
        <f>Data_Feed_Daily!G44</f>
        <v/>
      </c>
      <c r="J44" s="18">
        <f>H44+I44-F44</f>
        <v/>
      </c>
      <c r="K44" s="18">
        <f>IF(J44&lt;Assumptions!$C$10, MIN(Assumptions!$C$10-J44, Assumptions!$C$9-IF(ISNUMBER(M43), M43, Assumptions!$C$15)), 0)</f>
        <v/>
      </c>
      <c r="L44" s="18">
        <f>IF(AND(J44&gt;Assumptions!$C$11, IF(ISNUMBER(M43), M43, Assumptions!$C$15)&gt;0), MIN(J44-Assumptions!$C$11, IF(ISNUMBER(M43), M43, Assumptions!$C$15)), 0)</f>
        <v/>
      </c>
      <c r="M44" s="18">
        <f>IF(ISNUMBER(M43), M43, Assumptions!$C$15)+K44-L44</f>
        <v/>
      </c>
      <c r="N44" s="18">
        <f>ROUND(M44*(Assumptions!$C$19/Assumptions!$C$8), 2)</f>
        <v/>
      </c>
      <c r="O44" s="18">
        <f>J44+K44-L44-N44</f>
        <v/>
      </c>
      <c r="P44" s="18">
        <f>O44+(Assumptions!$C$9-M44)</f>
        <v/>
      </c>
      <c r="Q44" s="18">
        <f>P44-Assumptions!$C$10</f>
        <v/>
      </c>
      <c r="R44" s="21">
        <f>IF(Q44&lt;Assumptions!$C$12, "ALERT TRIGGERED", "COMPLIANT")</f>
        <v/>
      </c>
    </row>
    <row r="45">
      <c r="A45" s="19">
        <f>Data_Feed_Daily!A45</f>
        <v/>
      </c>
      <c r="B45" s="20">
        <f>IF(ISNUMBER(G44), G44, Assumptions!$C$14)</f>
        <v/>
      </c>
      <c r="C45" s="20">
        <f>Data_Feed_Daily!C45</f>
        <v/>
      </c>
      <c r="D45" s="20">
        <f>Data_Feed_Daily!E45-Data_Feed_Daily!F45</f>
        <v/>
      </c>
      <c r="E45" s="20">
        <f>C45-D45-Data_Feed_Daily!D45</f>
        <v/>
      </c>
      <c r="F45" s="20">
        <f>MAX(0, D45-(B45+C45))</f>
        <v/>
      </c>
      <c r="G45" s="20">
        <f>B45+C45-D45+F45</f>
        <v/>
      </c>
      <c r="H45" s="20">
        <f>IF(ISNUMBER(O44), O44, Assumptions!$C$13)</f>
        <v/>
      </c>
      <c r="I45" s="20">
        <f>Data_Feed_Daily!G45</f>
        <v/>
      </c>
      <c r="J45" s="20">
        <f>H45+I45-F45</f>
        <v/>
      </c>
      <c r="K45" s="20">
        <f>IF(J45&lt;Assumptions!$C$10, MIN(Assumptions!$C$10-J45, Assumptions!$C$9-IF(ISNUMBER(M44), M44, Assumptions!$C$15)), 0)</f>
        <v/>
      </c>
      <c r="L45" s="20">
        <f>IF(AND(J45&gt;Assumptions!$C$11, IF(ISNUMBER(M44), M44, Assumptions!$C$15)&gt;0), MIN(J45-Assumptions!$C$11, IF(ISNUMBER(M44), M44, Assumptions!$C$15)), 0)</f>
        <v/>
      </c>
      <c r="M45" s="20">
        <f>IF(ISNUMBER(M44), M44, Assumptions!$C$15)+K45-L45</f>
        <v/>
      </c>
      <c r="N45" s="20">
        <f>ROUND(M45*(Assumptions!$C$19/Assumptions!$C$8), 2)</f>
        <v/>
      </c>
      <c r="O45" s="20">
        <f>J45+K45-L45-N45</f>
        <v/>
      </c>
      <c r="P45" s="20">
        <f>O45+(Assumptions!$C$9-M45)</f>
        <v/>
      </c>
      <c r="Q45" s="20">
        <f>P45-Assumptions!$C$10</f>
        <v/>
      </c>
      <c r="R45" s="22">
        <f>IF(Q45&lt;Assumptions!$C$12, "ALERT TRIGGERED", "COMPLIANT")</f>
        <v/>
      </c>
    </row>
    <row r="46">
      <c r="A46" s="17">
        <f>Data_Feed_Daily!A46</f>
        <v/>
      </c>
      <c r="B46" s="18">
        <f>IF(ISNUMBER(G45), G45, Assumptions!$C$14)</f>
        <v/>
      </c>
      <c r="C46" s="18">
        <f>Data_Feed_Daily!C46</f>
        <v/>
      </c>
      <c r="D46" s="18">
        <f>Data_Feed_Daily!E46-Data_Feed_Daily!F46</f>
        <v/>
      </c>
      <c r="E46" s="18">
        <f>C46-D46-Data_Feed_Daily!D46</f>
        <v/>
      </c>
      <c r="F46" s="18">
        <f>MAX(0, D46-(B46+C46))</f>
        <v/>
      </c>
      <c r="G46" s="18">
        <f>B46+C46-D46+F46</f>
        <v/>
      </c>
      <c r="H46" s="18">
        <f>IF(ISNUMBER(O45), O45, Assumptions!$C$13)</f>
        <v/>
      </c>
      <c r="I46" s="18">
        <f>Data_Feed_Daily!G46</f>
        <v/>
      </c>
      <c r="J46" s="18">
        <f>H46+I46-F46</f>
        <v/>
      </c>
      <c r="K46" s="18">
        <f>IF(J46&lt;Assumptions!$C$10, MIN(Assumptions!$C$10-J46, Assumptions!$C$9-IF(ISNUMBER(M45), M45, Assumptions!$C$15)), 0)</f>
        <v/>
      </c>
      <c r="L46" s="18">
        <f>IF(AND(J46&gt;Assumptions!$C$11, IF(ISNUMBER(M45), M45, Assumptions!$C$15)&gt;0), MIN(J46-Assumptions!$C$11, IF(ISNUMBER(M45), M45, Assumptions!$C$15)), 0)</f>
        <v/>
      </c>
      <c r="M46" s="18">
        <f>IF(ISNUMBER(M45), M45, Assumptions!$C$15)+K46-L46</f>
        <v/>
      </c>
      <c r="N46" s="18">
        <f>ROUND(M46*(Assumptions!$C$19/Assumptions!$C$8), 2)</f>
        <v/>
      </c>
      <c r="O46" s="18">
        <f>J46+K46-L46-N46</f>
        <v/>
      </c>
      <c r="P46" s="18">
        <f>O46+(Assumptions!$C$9-M46)</f>
        <v/>
      </c>
      <c r="Q46" s="18">
        <f>P46-Assumptions!$C$10</f>
        <v/>
      </c>
      <c r="R46" s="21">
        <f>IF(Q46&lt;Assumptions!$C$12, "ALERT TRIGGERED", "COMPLIANT")</f>
        <v/>
      </c>
    </row>
    <row r="47">
      <c r="A47" s="19">
        <f>Data_Feed_Daily!A47</f>
        <v/>
      </c>
      <c r="B47" s="20">
        <f>IF(ISNUMBER(G46), G46, Assumptions!$C$14)</f>
        <v/>
      </c>
      <c r="C47" s="20">
        <f>Data_Feed_Daily!C47</f>
        <v/>
      </c>
      <c r="D47" s="20">
        <f>Data_Feed_Daily!E47-Data_Feed_Daily!F47</f>
        <v/>
      </c>
      <c r="E47" s="20">
        <f>C47-D47-Data_Feed_Daily!D47</f>
        <v/>
      </c>
      <c r="F47" s="20">
        <f>MAX(0, D47-(B47+C47))</f>
        <v/>
      </c>
      <c r="G47" s="20">
        <f>B47+C47-D47+F47</f>
        <v/>
      </c>
      <c r="H47" s="20">
        <f>IF(ISNUMBER(O46), O46, Assumptions!$C$13)</f>
        <v/>
      </c>
      <c r="I47" s="20">
        <f>Data_Feed_Daily!G47</f>
        <v/>
      </c>
      <c r="J47" s="20">
        <f>H47+I47-F47</f>
        <v/>
      </c>
      <c r="K47" s="20">
        <f>IF(J47&lt;Assumptions!$C$10, MIN(Assumptions!$C$10-J47, Assumptions!$C$9-IF(ISNUMBER(M46), M46, Assumptions!$C$15)), 0)</f>
        <v/>
      </c>
      <c r="L47" s="20">
        <f>IF(AND(J47&gt;Assumptions!$C$11, IF(ISNUMBER(M46), M46, Assumptions!$C$15)&gt;0), MIN(J47-Assumptions!$C$11, IF(ISNUMBER(M46), M46, Assumptions!$C$15)), 0)</f>
        <v/>
      </c>
      <c r="M47" s="20">
        <f>IF(ISNUMBER(M46), M46, Assumptions!$C$15)+K47-L47</f>
        <v/>
      </c>
      <c r="N47" s="20">
        <f>ROUND(M47*(Assumptions!$C$19/Assumptions!$C$8), 2)</f>
        <v/>
      </c>
      <c r="O47" s="20">
        <f>J47+K47-L47-N47</f>
        <v/>
      </c>
      <c r="P47" s="20">
        <f>O47+(Assumptions!$C$9-M47)</f>
        <v/>
      </c>
      <c r="Q47" s="20">
        <f>P47-Assumptions!$C$10</f>
        <v/>
      </c>
      <c r="R47" s="22">
        <f>IF(Q47&lt;Assumptions!$C$12, "ALERT TRIGGERED", "COMPLIANT")</f>
        <v/>
      </c>
    </row>
    <row r="48">
      <c r="A48" s="17">
        <f>Data_Feed_Daily!A48</f>
        <v/>
      </c>
      <c r="B48" s="18">
        <f>IF(ISNUMBER(G47), G47, Assumptions!$C$14)</f>
        <v/>
      </c>
      <c r="C48" s="18">
        <f>Data_Feed_Daily!C48</f>
        <v/>
      </c>
      <c r="D48" s="18">
        <f>Data_Feed_Daily!E48-Data_Feed_Daily!F48</f>
        <v/>
      </c>
      <c r="E48" s="18">
        <f>C48-D48-Data_Feed_Daily!D48</f>
        <v/>
      </c>
      <c r="F48" s="18">
        <f>MAX(0, D48-(B48+C48))</f>
        <v/>
      </c>
      <c r="G48" s="18">
        <f>B48+C48-D48+F48</f>
        <v/>
      </c>
      <c r="H48" s="18">
        <f>IF(ISNUMBER(O47), O47, Assumptions!$C$13)</f>
        <v/>
      </c>
      <c r="I48" s="18">
        <f>Data_Feed_Daily!G48</f>
        <v/>
      </c>
      <c r="J48" s="18">
        <f>H48+I48-F48</f>
        <v/>
      </c>
      <c r="K48" s="18">
        <f>IF(J48&lt;Assumptions!$C$10, MIN(Assumptions!$C$10-J48, Assumptions!$C$9-IF(ISNUMBER(M47), M47, Assumptions!$C$15)), 0)</f>
        <v/>
      </c>
      <c r="L48" s="18">
        <f>IF(AND(J48&gt;Assumptions!$C$11, IF(ISNUMBER(M47), M47, Assumptions!$C$15)&gt;0), MIN(J48-Assumptions!$C$11, IF(ISNUMBER(M47), M47, Assumptions!$C$15)), 0)</f>
        <v/>
      </c>
      <c r="M48" s="18">
        <f>IF(ISNUMBER(M47), M47, Assumptions!$C$15)+K48-L48</f>
        <v/>
      </c>
      <c r="N48" s="18">
        <f>ROUND(M48*(Assumptions!$C$19/Assumptions!$C$8), 2)</f>
        <v/>
      </c>
      <c r="O48" s="18">
        <f>J48+K48-L48-N48</f>
        <v/>
      </c>
      <c r="P48" s="18">
        <f>O48+(Assumptions!$C$9-M48)</f>
        <v/>
      </c>
      <c r="Q48" s="18">
        <f>P48-Assumptions!$C$10</f>
        <v/>
      </c>
      <c r="R48" s="21">
        <f>IF(Q48&lt;Assumptions!$C$12, "ALERT TRIGGERED", "COMPLIANT")</f>
        <v/>
      </c>
    </row>
    <row r="49">
      <c r="A49" s="19">
        <f>Data_Feed_Daily!A49</f>
        <v/>
      </c>
      <c r="B49" s="20">
        <f>IF(ISNUMBER(G48), G48, Assumptions!$C$14)</f>
        <v/>
      </c>
      <c r="C49" s="20">
        <f>Data_Feed_Daily!C49</f>
        <v/>
      </c>
      <c r="D49" s="20">
        <f>Data_Feed_Daily!E49-Data_Feed_Daily!F49</f>
        <v/>
      </c>
      <c r="E49" s="20">
        <f>C49-D49-Data_Feed_Daily!D49</f>
        <v/>
      </c>
      <c r="F49" s="20">
        <f>MAX(0, D49-(B49+C49))</f>
        <v/>
      </c>
      <c r="G49" s="20">
        <f>B49+C49-D49+F49</f>
        <v/>
      </c>
      <c r="H49" s="20">
        <f>IF(ISNUMBER(O48), O48, Assumptions!$C$13)</f>
        <v/>
      </c>
      <c r="I49" s="20">
        <f>Data_Feed_Daily!G49</f>
        <v/>
      </c>
      <c r="J49" s="20">
        <f>H49+I49-F49</f>
        <v/>
      </c>
      <c r="K49" s="20">
        <f>IF(J49&lt;Assumptions!$C$10, MIN(Assumptions!$C$10-J49, Assumptions!$C$9-IF(ISNUMBER(M48), M48, Assumptions!$C$15)), 0)</f>
        <v/>
      </c>
      <c r="L49" s="20">
        <f>IF(AND(J49&gt;Assumptions!$C$11, IF(ISNUMBER(M48), M48, Assumptions!$C$15)&gt;0), MIN(J49-Assumptions!$C$11, IF(ISNUMBER(M48), M48, Assumptions!$C$15)), 0)</f>
        <v/>
      </c>
      <c r="M49" s="20">
        <f>IF(ISNUMBER(M48), M48, Assumptions!$C$15)+K49-L49</f>
        <v/>
      </c>
      <c r="N49" s="20">
        <f>ROUND(M49*(Assumptions!$C$19/Assumptions!$C$8), 2)</f>
        <v/>
      </c>
      <c r="O49" s="20">
        <f>J49+K49-L49-N49</f>
        <v/>
      </c>
      <c r="P49" s="20">
        <f>O49+(Assumptions!$C$9-M49)</f>
        <v/>
      </c>
      <c r="Q49" s="20">
        <f>P49-Assumptions!$C$10</f>
        <v/>
      </c>
      <c r="R49" s="22">
        <f>IF(Q49&lt;Assumptions!$C$12, "ALERT TRIGGERED", "COMPLIANT")</f>
        <v/>
      </c>
    </row>
    <row r="50">
      <c r="A50" s="17">
        <f>Data_Feed_Daily!A50</f>
        <v/>
      </c>
      <c r="B50" s="18">
        <f>IF(ISNUMBER(G49), G49, Assumptions!$C$14)</f>
        <v/>
      </c>
      <c r="C50" s="18">
        <f>Data_Feed_Daily!C50</f>
        <v/>
      </c>
      <c r="D50" s="18">
        <f>Data_Feed_Daily!E50-Data_Feed_Daily!F50</f>
        <v/>
      </c>
      <c r="E50" s="18">
        <f>C50-D50-Data_Feed_Daily!D50</f>
        <v/>
      </c>
      <c r="F50" s="18">
        <f>MAX(0, D50-(B50+C50))</f>
        <v/>
      </c>
      <c r="G50" s="18">
        <f>B50+C50-D50+F50</f>
        <v/>
      </c>
      <c r="H50" s="18">
        <f>IF(ISNUMBER(O49), O49, Assumptions!$C$13)</f>
        <v/>
      </c>
      <c r="I50" s="18">
        <f>Data_Feed_Daily!G50</f>
        <v/>
      </c>
      <c r="J50" s="18">
        <f>H50+I50-F50</f>
        <v/>
      </c>
      <c r="K50" s="18">
        <f>IF(J50&lt;Assumptions!$C$10, MIN(Assumptions!$C$10-J50, Assumptions!$C$9-IF(ISNUMBER(M49), M49, Assumptions!$C$15)), 0)</f>
        <v/>
      </c>
      <c r="L50" s="18">
        <f>IF(AND(J50&gt;Assumptions!$C$11, IF(ISNUMBER(M49), M49, Assumptions!$C$15)&gt;0), MIN(J50-Assumptions!$C$11, IF(ISNUMBER(M49), M49, Assumptions!$C$15)), 0)</f>
        <v/>
      </c>
      <c r="M50" s="18">
        <f>IF(ISNUMBER(M49), M49, Assumptions!$C$15)+K50-L50</f>
        <v/>
      </c>
      <c r="N50" s="18">
        <f>ROUND(M50*(Assumptions!$C$19/Assumptions!$C$8), 2)</f>
        <v/>
      </c>
      <c r="O50" s="18">
        <f>J50+K50-L50-N50</f>
        <v/>
      </c>
      <c r="P50" s="18">
        <f>O50+(Assumptions!$C$9-M50)</f>
        <v/>
      </c>
      <c r="Q50" s="18">
        <f>P50-Assumptions!$C$10</f>
        <v/>
      </c>
      <c r="R50" s="21">
        <f>IF(Q50&lt;Assumptions!$C$12, "ALERT TRIGGERED", "COMPLIANT")</f>
        <v/>
      </c>
    </row>
    <row r="51">
      <c r="A51" s="19">
        <f>Data_Feed_Daily!A51</f>
        <v/>
      </c>
      <c r="B51" s="20">
        <f>IF(ISNUMBER(G50), G50, Assumptions!$C$14)</f>
        <v/>
      </c>
      <c r="C51" s="20">
        <f>Data_Feed_Daily!C51</f>
        <v/>
      </c>
      <c r="D51" s="20">
        <f>Data_Feed_Daily!E51-Data_Feed_Daily!F51</f>
        <v/>
      </c>
      <c r="E51" s="20">
        <f>C51-D51-Data_Feed_Daily!D51</f>
        <v/>
      </c>
      <c r="F51" s="20">
        <f>MAX(0, D51-(B51+C51))</f>
        <v/>
      </c>
      <c r="G51" s="20">
        <f>B51+C51-D51+F51</f>
        <v/>
      </c>
      <c r="H51" s="20">
        <f>IF(ISNUMBER(O50), O50, Assumptions!$C$13)</f>
        <v/>
      </c>
      <c r="I51" s="20">
        <f>Data_Feed_Daily!G51</f>
        <v/>
      </c>
      <c r="J51" s="20">
        <f>H51+I51-F51</f>
        <v/>
      </c>
      <c r="K51" s="20">
        <f>IF(J51&lt;Assumptions!$C$10, MIN(Assumptions!$C$10-J51, Assumptions!$C$9-IF(ISNUMBER(M50), M50, Assumptions!$C$15)), 0)</f>
        <v/>
      </c>
      <c r="L51" s="20">
        <f>IF(AND(J51&gt;Assumptions!$C$11, IF(ISNUMBER(M50), M50, Assumptions!$C$15)&gt;0), MIN(J51-Assumptions!$C$11, IF(ISNUMBER(M50), M50, Assumptions!$C$15)), 0)</f>
        <v/>
      </c>
      <c r="M51" s="20">
        <f>IF(ISNUMBER(M50), M50, Assumptions!$C$15)+K51-L51</f>
        <v/>
      </c>
      <c r="N51" s="20">
        <f>ROUND(M51*(Assumptions!$C$19/Assumptions!$C$8), 2)</f>
        <v/>
      </c>
      <c r="O51" s="20">
        <f>J51+K51-L51-N51</f>
        <v/>
      </c>
      <c r="P51" s="20">
        <f>O51+(Assumptions!$C$9-M51)</f>
        <v/>
      </c>
      <c r="Q51" s="20">
        <f>P51-Assumptions!$C$10</f>
        <v/>
      </c>
      <c r="R51" s="22">
        <f>IF(Q51&lt;Assumptions!$C$12, "ALERT TRIGGERED", "COMPLIANT")</f>
        <v/>
      </c>
    </row>
    <row r="52">
      <c r="A52" s="17">
        <f>Data_Feed_Daily!A52</f>
        <v/>
      </c>
      <c r="B52" s="18">
        <f>IF(ISNUMBER(G51), G51, Assumptions!$C$14)</f>
        <v/>
      </c>
      <c r="C52" s="18">
        <f>Data_Feed_Daily!C52</f>
        <v/>
      </c>
      <c r="D52" s="18">
        <f>Data_Feed_Daily!E52-Data_Feed_Daily!F52</f>
        <v/>
      </c>
      <c r="E52" s="18">
        <f>C52-D52-Data_Feed_Daily!D52</f>
        <v/>
      </c>
      <c r="F52" s="18">
        <f>MAX(0, D52-(B52+C52))</f>
        <v/>
      </c>
      <c r="G52" s="18">
        <f>B52+C52-D52+F52</f>
        <v/>
      </c>
      <c r="H52" s="18">
        <f>IF(ISNUMBER(O51), O51, Assumptions!$C$13)</f>
        <v/>
      </c>
      <c r="I52" s="18">
        <f>Data_Feed_Daily!G52</f>
        <v/>
      </c>
      <c r="J52" s="18">
        <f>H52+I52-F52</f>
        <v/>
      </c>
      <c r="K52" s="18">
        <f>IF(J52&lt;Assumptions!$C$10, MIN(Assumptions!$C$10-J52, Assumptions!$C$9-IF(ISNUMBER(M51), M51, Assumptions!$C$15)), 0)</f>
        <v/>
      </c>
      <c r="L52" s="18">
        <f>IF(AND(J52&gt;Assumptions!$C$11, IF(ISNUMBER(M51), M51, Assumptions!$C$15)&gt;0), MIN(J52-Assumptions!$C$11, IF(ISNUMBER(M51), M51, Assumptions!$C$15)), 0)</f>
        <v/>
      </c>
      <c r="M52" s="18">
        <f>IF(ISNUMBER(M51), M51, Assumptions!$C$15)+K52-L52</f>
        <v/>
      </c>
      <c r="N52" s="18">
        <f>ROUND(M52*(Assumptions!$C$19/Assumptions!$C$8), 2)</f>
        <v/>
      </c>
      <c r="O52" s="18">
        <f>J52+K52-L52-N52</f>
        <v/>
      </c>
      <c r="P52" s="18">
        <f>O52+(Assumptions!$C$9-M52)</f>
        <v/>
      </c>
      <c r="Q52" s="18">
        <f>P52-Assumptions!$C$10</f>
        <v/>
      </c>
      <c r="R52" s="21">
        <f>IF(Q52&lt;Assumptions!$C$12, "ALERT TRIGGERED", "COMPLIANT")</f>
        <v/>
      </c>
    </row>
    <row r="53">
      <c r="A53" s="19">
        <f>Data_Feed_Daily!A53</f>
        <v/>
      </c>
      <c r="B53" s="20">
        <f>IF(ISNUMBER(G52), G52, Assumptions!$C$14)</f>
        <v/>
      </c>
      <c r="C53" s="20">
        <f>Data_Feed_Daily!C53</f>
        <v/>
      </c>
      <c r="D53" s="20">
        <f>Data_Feed_Daily!E53-Data_Feed_Daily!F53</f>
        <v/>
      </c>
      <c r="E53" s="20">
        <f>C53-D53-Data_Feed_Daily!D53</f>
        <v/>
      </c>
      <c r="F53" s="20">
        <f>MAX(0, D53-(B53+C53))</f>
        <v/>
      </c>
      <c r="G53" s="20">
        <f>B53+C53-D53+F53</f>
        <v/>
      </c>
      <c r="H53" s="20">
        <f>IF(ISNUMBER(O52), O52, Assumptions!$C$13)</f>
        <v/>
      </c>
      <c r="I53" s="20">
        <f>Data_Feed_Daily!G53</f>
        <v/>
      </c>
      <c r="J53" s="20">
        <f>H53+I53-F53</f>
        <v/>
      </c>
      <c r="K53" s="20">
        <f>IF(J53&lt;Assumptions!$C$10, MIN(Assumptions!$C$10-J53, Assumptions!$C$9-IF(ISNUMBER(M52), M52, Assumptions!$C$15)), 0)</f>
        <v/>
      </c>
      <c r="L53" s="20">
        <f>IF(AND(J53&gt;Assumptions!$C$11, IF(ISNUMBER(M52), M52, Assumptions!$C$15)&gt;0), MIN(J53-Assumptions!$C$11, IF(ISNUMBER(M52), M52, Assumptions!$C$15)), 0)</f>
        <v/>
      </c>
      <c r="M53" s="20">
        <f>IF(ISNUMBER(M52), M52, Assumptions!$C$15)+K53-L53</f>
        <v/>
      </c>
      <c r="N53" s="20">
        <f>ROUND(M53*(Assumptions!$C$19/Assumptions!$C$8), 2)</f>
        <v/>
      </c>
      <c r="O53" s="20">
        <f>J53+K53-L53-N53</f>
        <v/>
      </c>
      <c r="P53" s="20">
        <f>O53+(Assumptions!$C$9-M53)</f>
        <v/>
      </c>
      <c r="Q53" s="20">
        <f>P53-Assumptions!$C$10</f>
        <v/>
      </c>
      <c r="R53" s="22">
        <f>IF(Q53&lt;Assumptions!$C$12, "ALERT TRIGGERED", "COMPLIANT")</f>
        <v/>
      </c>
    </row>
    <row r="54">
      <c r="A54" s="17">
        <f>Data_Feed_Daily!A54</f>
        <v/>
      </c>
      <c r="B54" s="18">
        <f>IF(ISNUMBER(G53), G53, Assumptions!$C$14)</f>
        <v/>
      </c>
      <c r="C54" s="18">
        <f>Data_Feed_Daily!C54</f>
        <v/>
      </c>
      <c r="D54" s="18">
        <f>Data_Feed_Daily!E54-Data_Feed_Daily!F54</f>
        <v/>
      </c>
      <c r="E54" s="18">
        <f>C54-D54-Data_Feed_Daily!D54</f>
        <v/>
      </c>
      <c r="F54" s="18">
        <f>MAX(0, D54-(B54+C54))</f>
        <v/>
      </c>
      <c r="G54" s="18">
        <f>B54+C54-D54+F54</f>
        <v/>
      </c>
      <c r="H54" s="18">
        <f>IF(ISNUMBER(O53), O53, Assumptions!$C$13)</f>
        <v/>
      </c>
      <c r="I54" s="18">
        <f>Data_Feed_Daily!G54</f>
        <v/>
      </c>
      <c r="J54" s="18">
        <f>H54+I54-F54</f>
        <v/>
      </c>
      <c r="K54" s="18">
        <f>IF(J54&lt;Assumptions!$C$10, MIN(Assumptions!$C$10-J54, Assumptions!$C$9-IF(ISNUMBER(M53), M53, Assumptions!$C$15)), 0)</f>
        <v/>
      </c>
      <c r="L54" s="18">
        <f>IF(AND(J54&gt;Assumptions!$C$11, IF(ISNUMBER(M53), M53, Assumptions!$C$15)&gt;0), MIN(J54-Assumptions!$C$11, IF(ISNUMBER(M53), M53, Assumptions!$C$15)), 0)</f>
        <v/>
      </c>
      <c r="M54" s="18">
        <f>IF(ISNUMBER(M53), M53, Assumptions!$C$15)+K54-L54</f>
        <v/>
      </c>
      <c r="N54" s="18">
        <f>ROUND(M54*(Assumptions!$C$19/Assumptions!$C$8), 2)</f>
        <v/>
      </c>
      <c r="O54" s="18">
        <f>J54+K54-L54-N54</f>
        <v/>
      </c>
      <c r="P54" s="18">
        <f>O54+(Assumptions!$C$9-M54)</f>
        <v/>
      </c>
      <c r="Q54" s="18">
        <f>P54-Assumptions!$C$10</f>
        <v/>
      </c>
      <c r="R54" s="21">
        <f>IF(Q54&lt;Assumptions!$C$12, "ALERT TRIGGERED", "COMPLIANT")</f>
        <v/>
      </c>
    </row>
    <row r="55">
      <c r="A55" s="19">
        <f>Data_Feed_Daily!A55</f>
        <v/>
      </c>
      <c r="B55" s="20">
        <f>IF(ISNUMBER(G54), G54, Assumptions!$C$14)</f>
        <v/>
      </c>
      <c r="C55" s="20">
        <f>Data_Feed_Daily!C55</f>
        <v/>
      </c>
      <c r="D55" s="20">
        <f>Data_Feed_Daily!E55-Data_Feed_Daily!F55</f>
        <v/>
      </c>
      <c r="E55" s="20">
        <f>C55-D55-Data_Feed_Daily!D55</f>
        <v/>
      </c>
      <c r="F55" s="20">
        <f>MAX(0, D55-(B55+C55))</f>
        <v/>
      </c>
      <c r="G55" s="20">
        <f>B55+C55-D55+F55</f>
        <v/>
      </c>
      <c r="H55" s="20">
        <f>IF(ISNUMBER(O54), O54, Assumptions!$C$13)</f>
        <v/>
      </c>
      <c r="I55" s="20">
        <f>Data_Feed_Daily!G55</f>
        <v/>
      </c>
      <c r="J55" s="20">
        <f>H55+I55-F55</f>
        <v/>
      </c>
      <c r="K55" s="20">
        <f>IF(J55&lt;Assumptions!$C$10, MIN(Assumptions!$C$10-J55, Assumptions!$C$9-IF(ISNUMBER(M54), M54, Assumptions!$C$15)), 0)</f>
        <v/>
      </c>
      <c r="L55" s="20">
        <f>IF(AND(J55&gt;Assumptions!$C$11, IF(ISNUMBER(M54), M54, Assumptions!$C$15)&gt;0), MIN(J55-Assumptions!$C$11, IF(ISNUMBER(M54), M54, Assumptions!$C$15)), 0)</f>
        <v/>
      </c>
      <c r="M55" s="20">
        <f>IF(ISNUMBER(M54), M54, Assumptions!$C$15)+K55-L55</f>
        <v/>
      </c>
      <c r="N55" s="20">
        <f>ROUND(M55*(Assumptions!$C$19/Assumptions!$C$8), 2)</f>
        <v/>
      </c>
      <c r="O55" s="20">
        <f>J55+K55-L55-N55</f>
        <v/>
      </c>
      <c r="P55" s="20">
        <f>O55+(Assumptions!$C$9-M55)</f>
        <v/>
      </c>
      <c r="Q55" s="20">
        <f>P55-Assumptions!$C$10</f>
        <v/>
      </c>
      <c r="R55" s="22">
        <f>IF(Q55&lt;Assumptions!$C$12, "ALERT TRIGGERED", "COMPLIANT")</f>
        <v/>
      </c>
    </row>
    <row r="56">
      <c r="A56" s="17">
        <f>Data_Feed_Daily!A56</f>
        <v/>
      </c>
      <c r="B56" s="18">
        <f>IF(ISNUMBER(G55), G55, Assumptions!$C$14)</f>
        <v/>
      </c>
      <c r="C56" s="18">
        <f>Data_Feed_Daily!C56</f>
        <v/>
      </c>
      <c r="D56" s="18">
        <f>Data_Feed_Daily!E56-Data_Feed_Daily!F56</f>
        <v/>
      </c>
      <c r="E56" s="18">
        <f>C56-D56-Data_Feed_Daily!D56</f>
        <v/>
      </c>
      <c r="F56" s="18">
        <f>MAX(0, D56-(B56+C56))</f>
        <v/>
      </c>
      <c r="G56" s="18">
        <f>B56+C56-D56+F56</f>
        <v/>
      </c>
      <c r="H56" s="18">
        <f>IF(ISNUMBER(O55), O55, Assumptions!$C$13)</f>
        <v/>
      </c>
      <c r="I56" s="18">
        <f>Data_Feed_Daily!G56</f>
        <v/>
      </c>
      <c r="J56" s="18">
        <f>H56+I56-F56</f>
        <v/>
      </c>
      <c r="K56" s="18">
        <f>IF(J56&lt;Assumptions!$C$10, MIN(Assumptions!$C$10-J56, Assumptions!$C$9-IF(ISNUMBER(M55), M55, Assumptions!$C$15)), 0)</f>
        <v/>
      </c>
      <c r="L56" s="18">
        <f>IF(AND(J56&gt;Assumptions!$C$11, IF(ISNUMBER(M55), M55, Assumptions!$C$15)&gt;0), MIN(J56-Assumptions!$C$11, IF(ISNUMBER(M55), M55, Assumptions!$C$15)), 0)</f>
        <v/>
      </c>
      <c r="M56" s="18">
        <f>IF(ISNUMBER(M55), M55, Assumptions!$C$15)+K56-L56</f>
        <v/>
      </c>
      <c r="N56" s="18">
        <f>ROUND(M56*(Assumptions!$C$19/Assumptions!$C$8), 2)</f>
        <v/>
      </c>
      <c r="O56" s="18">
        <f>J56+K56-L56-N56</f>
        <v/>
      </c>
      <c r="P56" s="18">
        <f>O56+(Assumptions!$C$9-M56)</f>
        <v/>
      </c>
      <c r="Q56" s="18">
        <f>P56-Assumptions!$C$10</f>
        <v/>
      </c>
      <c r="R56" s="21">
        <f>IF(Q56&lt;Assumptions!$C$12, "ALERT TRIGGERED", "COMPLIANT")</f>
        <v/>
      </c>
    </row>
    <row r="57">
      <c r="A57" s="19">
        <f>Data_Feed_Daily!A57</f>
        <v/>
      </c>
      <c r="B57" s="20">
        <f>IF(ISNUMBER(G56), G56, Assumptions!$C$14)</f>
        <v/>
      </c>
      <c r="C57" s="20">
        <f>Data_Feed_Daily!C57</f>
        <v/>
      </c>
      <c r="D57" s="20">
        <f>Data_Feed_Daily!E57-Data_Feed_Daily!F57</f>
        <v/>
      </c>
      <c r="E57" s="20">
        <f>C57-D57-Data_Feed_Daily!D57</f>
        <v/>
      </c>
      <c r="F57" s="20">
        <f>MAX(0, D57-(B57+C57))</f>
        <v/>
      </c>
      <c r="G57" s="20">
        <f>B57+C57-D57+F57</f>
        <v/>
      </c>
      <c r="H57" s="20">
        <f>IF(ISNUMBER(O56), O56, Assumptions!$C$13)</f>
        <v/>
      </c>
      <c r="I57" s="20">
        <f>Data_Feed_Daily!G57</f>
        <v/>
      </c>
      <c r="J57" s="20">
        <f>H57+I57-F57</f>
        <v/>
      </c>
      <c r="K57" s="20">
        <f>IF(J57&lt;Assumptions!$C$10, MIN(Assumptions!$C$10-J57, Assumptions!$C$9-IF(ISNUMBER(M56), M56, Assumptions!$C$15)), 0)</f>
        <v/>
      </c>
      <c r="L57" s="20">
        <f>IF(AND(J57&gt;Assumptions!$C$11, IF(ISNUMBER(M56), M56, Assumptions!$C$15)&gt;0), MIN(J57-Assumptions!$C$11, IF(ISNUMBER(M56), M56, Assumptions!$C$15)), 0)</f>
        <v/>
      </c>
      <c r="M57" s="20">
        <f>IF(ISNUMBER(M56), M56, Assumptions!$C$15)+K57-L57</f>
        <v/>
      </c>
      <c r="N57" s="20">
        <f>ROUND(M57*(Assumptions!$C$19/Assumptions!$C$8), 2)</f>
        <v/>
      </c>
      <c r="O57" s="20">
        <f>J57+K57-L57-N57</f>
        <v/>
      </c>
      <c r="P57" s="20">
        <f>O57+(Assumptions!$C$9-M57)</f>
        <v/>
      </c>
      <c r="Q57" s="20">
        <f>P57-Assumptions!$C$10</f>
        <v/>
      </c>
      <c r="R57" s="22">
        <f>IF(Q57&lt;Assumptions!$C$12, "ALERT TRIGGERED", "COMPLIANT")</f>
        <v/>
      </c>
    </row>
    <row r="58">
      <c r="A58" s="17">
        <f>Data_Feed_Daily!A58</f>
        <v/>
      </c>
      <c r="B58" s="18">
        <f>IF(ISNUMBER(G57), G57, Assumptions!$C$14)</f>
        <v/>
      </c>
      <c r="C58" s="18">
        <f>Data_Feed_Daily!C58</f>
        <v/>
      </c>
      <c r="D58" s="18">
        <f>Data_Feed_Daily!E58-Data_Feed_Daily!F58</f>
        <v/>
      </c>
      <c r="E58" s="18">
        <f>C58-D58-Data_Feed_Daily!D58</f>
        <v/>
      </c>
      <c r="F58" s="18">
        <f>MAX(0, D58-(B58+C58))</f>
        <v/>
      </c>
      <c r="G58" s="18">
        <f>B58+C58-D58+F58</f>
        <v/>
      </c>
      <c r="H58" s="18">
        <f>IF(ISNUMBER(O57), O57, Assumptions!$C$13)</f>
        <v/>
      </c>
      <c r="I58" s="18">
        <f>Data_Feed_Daily!G58</f>
        <v/>
      </c>
      <c r="J58" s="18">
        <f>H58+I58-F58</f>
        <v/>
      </c>
      <c r="K58" s="18">
        <f>IF(J58&lt;Assumptions!$C$10, MIN(Assumptions!$C$10-J58, Assumptions!$C$9-IF(ISNUMBER(M57), M57, Assumptions!$C$15)), 0)</f>
        <v/>
      </c>
      <c r="L58" s="18">
        <f>IF(AND(J58&gt;Assumptions!$C$11, IF(ISNUMBER(M57), M57, Assumptions!$C$15)&gt;0), MIN(J58-Assumptions!$C$11, IF(ISNUMBER(M57), M57, Assumptions!$C$15)), 0)</f>
        <v/>
      </c>
      <c r="M58" s="18">
        <f>IF(ISNUMBER(M57), M57, Assumptions!$C$15)+K58-L58</f>
        <v/>
      </c>
      <c r="N58" s="18">
        <f>ROUND(M58*(Assumptions!$C$19/Assumptions!$C$8), 2)</f>
        <v/>
      </c>
      <c r="O58" s="18">
        <f>J58+K58-L58-N58</f>
        <v/>
      </c>
      <c r="P58" s="18">
        <f>O58+(Assumptions!$C$9-M58)</f>
        <v/>
      </c>
      <c r="Q58" s="18">
        <f>P58-Assumptions!$C$10</f>
        <v/>
      </c>
      <c r="R58" s="21">
        <f>IF(Q58&lt;Assumptions!$C$12, "ALERT TRIGGERED", "COMPLIANT")</f>
        <v/>
      </c>
    </row>
    <row r="59">
      <c r="A59" s="19">
        <f>Data_Feed_Daily!A59</f>
        <v/>
      </c>
      <c r="B59" s="20">
        <f>IF(ISNUMBER(G58), G58, Assumptions!$C$14)</f>
        <v/>
      </c>
      <c r="C59" s="20">
        <f>Data_Feed_Daily!C59</f>
        <v/>
      </c>
      <c r="D59" s="20">
        <f>Data_Feed_Daily!E59-Data_Feed_Daily!F59</f>
        <v/>
      </c>
      <c r="E59" s="20">
        <f>C59-D59-Data_Feed_Daily!D59</f>
        <v/>
      </c>
      <c r="F59" s="20">
        <f>MAX(0, D59-(B59+C59))</f>
        <v/>
      </c>
      <c r="G59" s="20">
        <f>B59+C59-D59+F59</f>
        <v/>
      </c>
      <c r="H59" s="20">
        <f>IF(ISNUMBER(O58), O58, Assumptions!$C$13)</f>
        <v/>
      </c>
      <c r="I59" s="20">
        <f>Data_Feed_Daily!G59</f>
        <v/>
      </c>
      <c r="J59" s="20">
        <f>H59+I59-F59</f>
        <v/>
      </c>
      <c r="K59" s="20">
        <f>IF(J59&lt;Assumptions!$C$10, MIN(Assumptions!$C$10-J59, Assumptions!$C$9-IF(ISNUMBER(M58), M58, Assumptions!$C$15)), 0)</f>
        <v/>
      </c>
      <c r="L59" s="20">
        <f>IF(AND(J59&gt;Assumptions!$C$11, IF(ISNUMBER(M58), M58, Assumptions!$C$15)&gt;0), MIN(J59-Assumptions!$C$11, IF(ISNUMBER(M58), M58, Assumptions!$C$15)), 0)</f>
        <v/>
      </c>
      <c r="M59" s="20">
        <f>IF(ISNUMBER(M58), M58, Assumptions!$C$15)+K59-L59</f>
        <v/>
      </c>
      <c r="N59" s="20">
        <f>ROUND(M59*(Assumptions!$C$19/Assumptions!$C$8), 2)</f>
        <v/>
      </c>
      <c r="O59" s="20">
        <f>J59+K59-L59-N59</f>
        <v/>
      </c>
      <c r="P59" s="20">
        <f>O59+(Assumptions!$C$9-M59)</f>
        <v/>
      </c>
      <c r="Q59" s="20">
        <f>P59-Assumptions!$C$10</f>
        <v/>
      </c>
      <c r="R59" s="22">
        <f>IF(Q59&lt;Assumptions!$C$12, "ALERT TRIGGERED", "COMPLIANT")</f>
        <v/>
      </c>
    </row>
    <row r="60">
      <c r="A60" s="17">
        <f>Data_Feed_Daily!A60</f>
        <v/>
      </c>
      <c r="B60" s="18">
        <f>IF(ISNUMBER(G59), G59, Assumptions!$C$14)</f>
        <v/>
      </c>
      <c r="C60" s="18">
        <f>Data_Feed_Daily!C60</f>
        <v/>
      </c>
      <c r="D60" s="18">
        <f>Data_Feed_Daily!E60-Data_Feed_Daily!F60</f>
        <v/>
      </c>
      <c r="E60" s="18">
        <f>C60-D60-Data_Feed_Daily!D60</f>
        <v/>
      </c>
      <c r="F60" s="18">
        <f>MAX(0, D60-(B60+C60))</f>
        <v/>
      </c>
      <c r="G60" s="18">
        <f>B60+C60-D60+F60</f>
        <v/>
      </c>
      <c r="H60" s="18">
        <f>IF(ISNUMBER(O59), O59, Assumptions!$C$13)</f>
        <v/>
      </c>
      <c r="I60" s="18">
        <f>Data_Feed_Daily!G60</f>
        <v/>
      </c>
      <c r="J60" s="18">
        <f>H60+I60-F60</f>
        <v/>
      </c>
      <c r="K60" s="18">
        <f>IF(J60&lt;Assumptions!$C$10, MIN(Assumptions!$C$10-J60, Assumptions!$C$9-IF(ISNUMBER(M59), M59, Assumptions!$C$15)), 0)</f>
        <v/>
      </c>
      <c r="L60" s="18">
        <f>IF(AND(J60&gt;Assumptions!$C$11, IF(ISNUMBER(M59), M59, Assumptions!$C$15)&gt;0), MIN(J60-Assumptions!$C$11, IF(ISNUMBER(M59), M59, Assumptions!$C$15)), 0)</f>
        <v/>
      </c>
      <c r="M60" s="18">
        <f>IF(ISNUMBER(M59), M59, Assumptions!$C$15)+K60-L60</f>
        <v/>
      </c>
      <c r="N60" s="18">
        <f>ROUND(M60*(Assumptions!$C$19/Assumptions!$C$8), 2)</f>
        <v/>
      </c>
      <c r="O60" s="18">
        <f>J60+K60-L60-N60</f>
        <v/>
      </c>
      <c r="P60" s="18">
        <f>O60+(Assumptions!$C$9-M60)</f>
        <v/>
      </c>
      <c r="Q60" s="18">
        <f>P60-Assumptions!$C$10</f>
        <v/>
      </c>
      <c r="R60" s="21">
        <f>IF(Q60&lt;Assumptions!$C$12, "ALERT TRIGGERED", "COMPLIANT")</f>
        <v/>
      </c>
    </row>
    <row r="61">
      <c r="A61" s="19">
        <f>Data_Feed_Daily!A61</f>
        <v/>
      </c>
      <c r="B61" s="20">
        <f>IF(ISNUMBER(G60), G60, Assumptions!$C$14)</f>
        <v/>
      </c>
      <c r="C61" s="20">
        <f>Data_Feed_Daily!C61</f>
        <v/>
      </c>
      <c r="D61" s="20">
        <f>Data_Feed_Daily!E61-Data_Feed_Daily!F61</f>
        <v/>
      </c>
      <c r="E61" s="20">
        <f>C61-D61-Data_Feed_Daily!D61</f>
        <v/>
      </c>
      <c r="F61" s="20">
        <f>MAX(0, D61-(B61+C61))</f>
        <v/>
      </c>
      <c r="G61" s="20">
        <f>B61+C61-D61+F61</f>
        <v/>
      </c>
      <c r="H61" s="20">
        <f>IF(ISNUMBER(O60), O60, Assumptions!$C$13)</f>
        <v/>
      </c>
      <c r="I61" s="20">
        <f>Data_Feed_Daily!G61</f>
        <v/>
      </c>
      <c r="J61" s="20">
        <f>H61+I61-F61</f>
        <v/>
      </c>
      <c r="K61" s="20">
        <f>IF(J61&lt;Assumptions!$C$10, MIN(Assumptions!$C$10-J61, Assumptions!$C$9-IF(ISNUMBER(M60), M60, Assumptions!$C$15)), 0)</f>
        <v/>
      </c>
      <c r="L61" s="20">
        <f>IF(AND(J61&gt;Assumptions!$C$11, IF(ISNUMBER(M60), M60, Assumptions!$C$15)&gt;0), MIN(J61-Assumptions!$C$11, IF(ISNUMBER(M60), M60, Assumptions!$C$15)), 0)</f>
        <v/>
      </c>
      <c r="M61" s="20">
        <f>IF(ISNUMBER(M60), M60, Assumptions!$C$15)+K61-L61</f>
        <v/>
      </c>
      <c r="N61" s="20">
        <f>ROUND(M61*(Assumptions!$C$19/Assumptions!$C$8), 2)</f>
        <v/>
      </c>
      <c r="O61" s="20">
        <f>J61+K61-L61-N61</f>
        <v/>
      </c>
      <c r="P61" s="20">
        <f>O61+(Assumptions!$C$9-M61)</f>
        <v/>
      </c>
      <c r="Q61" s="20">
        <f>P61-Assumptions!$C$10</f>
        <v/>
      </c>
      <c r="R61" s="22">
        <f>IF(Q61&lt;Assumptions!$C$12, "ALERT TRIGGERED", "COMPLIANT")</f>
        <v/>
      </c>
    </row>
    <row r="62">
      <c r="A62" s="17">
        <f>Data_Feed_Daily!A62</f>
        <v/>
      </c>
      <c r="B62" s="18">
        <f>IF(ISNUMBER(G61), G61, Assumptions!$C$14)</f>
        <v/>
      </c>
      <c r="C62" s="18">
        <f>Data_Feed_Daily!C62</f>
        <v/>
      </c>
      <c r="D62" s="18">
        <f>Data_Feed_Daily!E62-Data_Feed_Daily!F62</f>
        <v/>
      </c>
      <c r="E62" s="18">
        <f>C62-D62-Data_Feed_Daily!D62</f>
        <v/>
      </c>
      <c r="F62" s="18">
        <f>MAX(0, D62-(B62+C62))</f>
        <v/>
      </c>
      <c r="G62" s="18">
        <f>B62+C62-D62+F62</f>
        <v/>
      </c>
      <c r="H62" s="18">
        <f>IF(ISNUMBER(O61), O61, Assumptions!$C$13)</f>
        <v/>
      </c>
      <c r="I62" s="18">
        <f>Data_Feed_Daily!G62</f>
        <v/>
      </c>
      <c r="J62" s="18">
        <f>H62+I62-F62</f>
        <v/>
      </c>
      <c r="K62" s="18">
        <f>IF(J62&lt;Assumptions!$C$10, MIN(Assumptions!$C$10-J62, Assumptions!$C$9-IF(ISNUMBER(M61), M61, Assumptions!$C$15)), 0)</f>
        <v/>
      </c>
      <c r="L62" s="18">
        <f>IF(AND(J62&gt;Assumptions!$C$11, IF(ISNUMBER(M61), M61, Assumptions!$C$15)&gt;0), MIN(J62-Assumptions!$C$11, IF(ISNUMBER(M61), M61, Assumptions!$C$15)), 0)</f>
        <v/>
      </c>
      <c r="M62" s="18">
        <f>IF(ISNUMBER(M61), M61, Assumptions!$C$15)+K62-L62</f>
        <v/>
      </c>
      <c r="N62" s="18">
        <f>ROUND(M62*(Assumptions!$C$19/Assumptions!$C$8), 2)</f>
        <v/>
      </c>
      <c r="O62" s="18">
        <f>J62+K62-L62-N62</f>
        <v/>
      </c>
      <c r="P62" s="18">
        <f>O62+(Assumptions!$C$9-M62)</f>
        <v/>
      </c>
      <c r="Q62" s="18">
        <f>P62-Assumptions!$C$10</f>
        <v/>
      </c>
      <c r="R62" s="21">
        <f>IF(Q62&lt;Assumptions!$C$12, "ALERT TRIGGERED", "COMPLIANT")</f>
        <v/>
      </c>
    </row>
    <row r="63">
      <c r="A63" s="19">
        <f>Data_Feed_Daily!A63</f>
        <v/>
      </c>
      <c r="B63" s="20">
        <f>IF(ISNUMBER(G62), G62, Assumptions!$C$14)</f>
        <v/>
      </c>
      <c r="C63" s="20">
        <f>Data_Feed_Daily!C63</f>
        <v/>
      </c>
      <c r="D63" s="20">
        <f>Data_Feed_Daily!E63-Data_Feed_Daily!F63</f>
        <v/>
      </c>
      <c r="E63" s="20">
        <f>C63-D63-Data_Feed_Daily!D63</f>
        <v/>
      </c>
      <c r="F63" s="20">
        <f>MAX(0, D63-(B63+C63))</f>
        <v/>
      </c>
      <c r="G63" s="20">
        <f>B63+C63-D63+F63</f>
        <v/>
      </c>
      <c r="H63" s="20">
        <f>IF(ISNUMBER(O62), O62, Assumptions!$C$13)</f>
        <v/>
      </c>
      <c r="I63" s="20">
        <f>Data_Feed_Daily!G63</f>
        <v/>
      </c>
      <c r="J63" s="20">
        <f>H63+I63-F63</f>
        <v/>
      </c>
      <c r="K63" s="20">
        <f>IF(J63&lt;Assumptions!$C$10, MIN(Assumptions!$C$10-J63, Assumptions!$C$9-IF(ISNUMBER(M62), M62, Assumptions!$C$15)), 0)</f>
        <v/>
      </c>
      <c r="L63" s="20">
        <f>IF(AND(J63&gt;Assumptions!$C$11, IF(ISNUMBER(M62), M62, Assumptions!$C$15)&gt;0), MIN(J63-Assumptions!$C$11, IF(ISNUMBER(M62), M62, Assumptions!$C$15)), 0)</f>
        <v/>
      </c>
      <c r="M63" s="20">
        <f>IF(ISNUMBER(M62), M62, Assumptions!$C$15)+K63-L63</f>
        <v/>
      </c>
      <c r="N63" s="20">
        <f>ROUND(M63*(Assumptions!$C$19/Assumptions!$C$8), 2)</f>
        <v/>
      </c>
      <c r="O63" s="20">
        <f>J63+K63-L63-N63</f>
        <v/>
      </c>
      <c r="P63" s="20">
        <f>O63+(Assumptions!$C$9-M63)</f>
        <v/>
      </c>
      <c r="Q63" s="20">
        <f>P63-Assumptions!$C$10</f>
        <v/>
      </c>
      <c r="R63" s="22">
        <f>IF(Q63&lt;Assumptions!$C$12, "ALERT TRIGGERED", "COMPLIANT")</f>
        <v/>
      </c>
    </row>
    <row r="64">
      <c r="A64" s="17">
        <f>Data_Feed_Daily!A64</f>
        <v/>
      </c>
      <c r="B64" s="18">
        <f>IF(ISNUMBER(G63), G63, Assumptions!$C$14)</f>
        <v/>
      </c>
      <c r="C64" s="18">
        <f>Data_Feed_Daily!C64</f>
        <v/>
      </c>
      <c r="D64" s="18">
        <f>Data_Feed_Daily!E64-Data_Feed_Daily!F64</f>
        <v/>
      </c>
      <c r="E64" s="18">
        <f>C64-D64-Data_Feed_Daily!D64</f>
        <v/>
      </c>
      <c r="F64" s="18">
        <f>MAX(0, D64-(B64+C64))</f>
        <v/>
      </c>
      <c r="G64" s="18">
        <f>B64+C64-D64+F64</f>
        <v/>
      </c>
      <c r="H64" s="18">
        <f>IF(ISNUMBER(O63), O63, Assumptions!$C$13)</f>
        <v/>
      </c>
      <c r="I64" s="18">
        <f>Data_Feed_Daily!G64</f>
        <v/>
      </c>
      <c r="J64" s="18">
        <f>H64+I64-F64</f>
        <v/>
      </c>
      <c r="K64" s="18">
        <f>IF(J64&lt;Assumptions!$C$10, MIN(Assumptions!$C$10-J64, Assumptions!$C$9-IF(ISNUMBER(M63), M63, Assumptions!$C$15)), 0)</f>
        <v/>
      </c>
      <c r="L64" s="18">
        <f>IF(AND(J64&gt;Assumptions!$C$11, IF(ISNUMBER(M63), M63, Assumptions!$C$15)&gt;0), MIN(J64-Assumptions!$C$11, IF(ISNUMBER(M63), M63, Assumptions!$C$15)), 0)</f>
        <v/>
      </c>
      <c r="M64" s="18">
        <f>IF(ISNUMBER(M63), M63, Assumptions!$C$15)+K64-L64</f>
        <v/>
      </c>
      <c r="N64" s="18">
        <f>ROUND(M64*(Assumptions!$C$19/Assumptions!$C$8), 2)</f>
        <v/>
      </c>
      <c r="O64" s="18">
        <f>J64+K64-L64-N64</f>
        <v/>
      </c>
      <c r="P64" s="18">
        <f>O64+(Assumptions!$C$9-M64)</f>
        <v/>
      </c>
      <c r="Q64" s="18">
        <f>P64-Assumptions!$C$10</f>
        <v/>
      </c>
      <c r="R64" s="21">
        <f>IF(Q64&lt;Assumptions!$C$12, "ALERT TRIGGERED", "COMPLIANT")</f>
        <v/>
      </c>
    </row>
    <row r="65">
      <c r="A65" s="19">
        <f>Data_Feed_Daily!A65</f>
        <v/>
      </c>
      <c r="B65" s="20">
        <f>IF(ISNUMBER(G64), G64, Assumptions!$C$14)</f>
        <v/>
      </c>
      <c r="C65" s="20">
        <f>Data_Feed_Daily!C65</f>
        <v/>
      </c>
      <c r="D65" s="20">
        <f>Data_Feed_Daily!E65-Data_Feed_Daily!F65</f>
        <v/>
      </c>
      <c r="E65" s="20">
        <f>C65-D65-Data_Feed_Daily!D65</f>
        <v/>
      </c>
      <c r="F65" s="20">
        <f>MAX(0, D65-(B65+C65))</f>
        <v/>
      </c>
      <c r="G65" s="20">
        <f>B65+C65-D65+F65</f>
        <v/>
      </c>
      <c r="H65" s="20">
        <f>IF(ISNUMBER(O64), O64, Assumptions!$C$13)</f>
        <v/>
      </c>
      <c r="I65" s="20">
        <f>Data_Feed_Daily!G65</f>
        <v/>
      </c>
      <c r="J65" s="20">
        <f>H65+I65-F65</f>
        <v/>
      </c>
      <c r="K65" s="20">
        <f>IF(J65&lt;Assumptions!$C$10, MIN(Assumptions!$C$10-J65, Assumptions!$C$9-IF(ISNUMBER(M64), M64, Assumptions!$C$15)), 0)</f>
        <v/>
      </c>
      <c r="L65" s="20">
        <f>IF(AND(J65&gt;Assumptions!$C$11, IF(ISNUMBER(M64), M64, Assumptions!$C$15)&gt;0), MIN(J65-Assumptions!$C$11, IF(ISNUMBER(M64), M64, Assumptions!$C$15)), 0)</f>
        <v/>
      </c>
      <c r="M65" s="20">
        <f>IF(ISNUMBER(M64), M64, Assumptions!$C$15)+K65-L65</f>
        <v/>
      </c>
      <c r="N65" s="20">
        <f>ROUND(M65*(Assumptions!$C$19/Assumptions!$C$8), 2)</f>
        <v/>
      </c>
      <c r="O65" s="20">
        <f>J65+K65-L65-N65</f>
        <v/>
      </c>
      <c r="P65" s="20">
        <f>O65+(Assumptions!$C$9-M65)</f>
        <v/>
      </c>
      <c r="Q65" s="20">
        <f>P65-Assumptions!$C$10</f>
        <v/>
      </c>
      <c r="R65" s="22">
        <f>IF(Q65&lt;Assumptions!$C$12, "ALERT TRIGGERED", "COMPLIANT")</f>
        <v/>
      </c>
    </row>
    <row r="66">
      <c r="A66" s="17">
        <f>Data_Feed_Daily!A66</f>
        <v/>
      </c>
      <c r="B66" s="18">
        <f>IF(ISNUMBER(G65), G65, Assumptions!$C$14)</f>
        <v/>
      </c>
      <c r="C66" s="18">
        <f>Data_Feed_Daily!C66</f>
        <v/>
      </c>
      <c r="D66" s="18">
        <f>Data_Feed_Daily!E66-Data_Feed_Daily!F66</f>
        <v/>
      </c>
      <c r="E66" s="18">
        <f>C66-D66-Data_Feed_Daily!D66</f>
        <v/>
      </c>
      <c r="F66" s="18">
        <f>MAX(0, D66-(B66+C66))</f>
        <v/>
      </c>
      <c r="G66" s="18">
        <f>B66+C66-D66+F66</f>
        <v/>
      </c>
      <c r="H66" s="18">
        <f>IF(ISNUMBER(O65), O65, Assumptions!$C$13)</f>
        <v/>
      </c>
      <c r="I66" s="18">
        <f>Data_Feed_Daily!G66</f>
        <v/>
      </c>
      <c r="J66" s="18">
        <f>H66+I66-F66</f>
        <v/>
      </c>
      <c r="K66" s="18">
        <f>IF(J66&lt;Assumptions!$C$10, MIN(Assumptions!$C$10-J66, Assumptions!$C$9-IF(ISNUMBER(M65), M65, Assumptions!$C$15)), 0)</f>
        <v/>
      </c>
      <c r="L66" s="18">
        <f>IF(AND(J66&gt;Assumptions!$C$11, IF(ISNUMBER(M65), M65, Assumptions!$C$15)&gt;0), MIN(J66-Assumptions!$C$11, IF(ISNUMBER(M65), M65, Assumptions!$C$15)), 0)</f>
        <v/>
      </c>
      <c r="M66" s="18">
        <f>IF(ISNUMBER(M65), M65, Assumptions!$C$15)+K66-L66</f>
        <v/>
      </c>
      <c r="N66" s="18">
        <f>ROUND(M66*(Assumptions!$C$19/Assumptions!$C$8), 2)</f>
        <v/>
      </c>
      <c r="O66" s="18">
        <f>J66+K66-L66-N66</f>
        <v/>
      </c>
      <c r="P66" s="18">
        <f>O66+(Assumptions!$C$9-M66)</f>
        <v/>
      </c>
      <c r="Q66" s="18">
        <f>P66-Assumptions!$C$10</f>
        <v/>
      </c>
      <c r="R66" s="21">
        <f>IF(Q66&lt;Assumptions!$C$12, "ALERT TRIGGERED", "COMPLIANT")</f>
        <v/>
      </c>
    </row>
    <row r="67">
      <c r="A67" s="19">
        <f>Data_Feed_Daily!A67</f>
        <v/>
      </c>
      <c r="B67" s="20">
        <f>IF(ISNUMBER(G66), G66, Assumptions!$C$14)</f>
        <v/>
      </c>
      <c r="C67" s="20">
        <f>Data_Feed_Daily!C67</f>
        <v/>
      </c>
      <c r="D67" s="20">
        <f>Data_Feed_Daily!E67-Data_Feed_Daily!F67</f>
        <v/>
      </c>
      <c r="E67" s="20">
        <f>C67-D67-Data_Feed_Daily!D67</f>
        <v/>
      </c>
      <c r="F67" s="20">
        <f>MAX(0, D67-(B67+C67))</f>
        <v/>
      </c>
      <c r="G67" s="20">
        <f>B67+C67-D67+F67</f>
        <v/>
      </c>
      <c r="H67" s="20">
        <f>IF(ISNUMBER(O66), O66, Assumptions!$C$13)</f>
        <v/>
      </c>
      <c r="I67" s="20">
        <f>Data_Feed_Daily!G67</f>
        <v/>
      </c>
      <c r="J67" s="20">
        <f>H67+I67-F67</f>
        <v/>
      </c>
      <c r="K67" s="20">
        <f>IF(J67&lt;Assumptions!$C$10, MIN(Assumptions!$C$10-J67, Assumptions!$C$9-IF(ISNUMBER(M66), M66, Assumptions!$C$15)), 0)</f>
        <v/>
      </c>
      <c r="L67" s="20">
        <f>IF(AND(J67&gt;Assumptions!$C$11, IF(ISNUMBER(M66), M66, Assumptions!$C$15)&gt;0), MIN(J67-Assumptions!$C$11, IF(ISNUMBER(M66), M66, Assumptions!$C$15)), 0)</f>
        <v/>
      </c>
      <c r="M67" s="20">
        <f>IF(ISNUMBER(M66), M66, Assumptions!$C$15)+K67-L67</f>
        <v/>
      </c>
      <c r="N67" s="20">
        <f>ROUND(M67*(Assumptions!$C$19/Assumptions!$C$8), 2)</f>
        <v/>
      </c>
      <c r="O67" s="20">
        <f>J67+K67-L67-N67</f>
        <v/>
      </c>
      <c r="P67" s="20">
        <f>O67+(Assumptions!$C$9-M67)</f>
        <v/>
      </c>
      <c r="Q67" s="20">
        <f>P67-Assumptions!$C$10</f>
        <v/>
      </c>
      <c r="R67" s="22">
        <f>IF(Q67&lt;Assumptions!$C$12, "ALERT TRIGGERED", "COMPLIANT")</f>
        <v/>
      </c>
    </row>
    <row r="68">
      <c r="A68" s="17">
        <f>Data_Feed_Daily!A68</f>
        <v/>
      </c>
      <c r="B68" s="18">
        <f>IF(ISNUMBER(G67), G67, Assumptions!$C$14)</f>
        <v/>
      </c>
      <c r="C68" s="18">
        <f>Data_Feed_Daily!C68</f>
        <v/>
      </c>
      <c r="D68" s="18">
        <f>Data_Feed_Daily!E68-Data_Feed_Daily!F68</f>
        <v/>
      </c>
      <c r="E68" s="18">
        <f>C68-D68-Data_Feed_Daily!D68</f>
        <v/>
      </c>
      <c r="F68" s="18">
        <f>MAX(0, D68-(B68+C68))</f>
        <v/>
      </c>
      <c r="G68" s="18">
        <f>B68+C68-D68+F68</f>
        <v/>
      </c>
      <c r="H68" s="18">
        <f>IF(ISNUMBER(O67), O67, Assumptions!$C$13)</f>
        <v/>
      </c>
      <c r="I68" s="18">
        <f>Data_Feed_Daily!G68</f>
        <v/>
      </c>
      <c r="J68" s="18">
        <f>H68+I68-F68</f>
        <v/>
      </c>
      <c r="K68" s="18">
        <f>IF(J68&lt;Assumptions!$C$10, MIN(Assumptions!$C$10-J68, Assumptions!$C$9-IF(ISNUMBER(M67), M67, Assumptions!$C$15)), 0)</f>
        <v/>
      </c>
      <c r="L68" s="18">
        <f>IF(AND(J68&gt;Assumptions!$C$11, IF(ISNUMBER(M67), M67, Assumptions!$C$15)&gt;0), MIN(J68-Assumptions!$C$11, IF(ISNUMBER(M67), M67, Assumptions!$C$15)), 0)</f>
        <v/>
      </c>
      <c r="M68" s="18">
        <f>IF(ISNUMBER(M67), M67, Assumptions!$C$15)+K68-L68</f>
        <v/>
      </c>
      <c r="N68" s="18">
        <f>ROUND(M68*(Assumptions!$C$19/Assumptions!$C$8), 2)</f>
        <v/>
      </c>
      <c r="O68" s="18">
        <f>J68+K68-L68-N68</f>
        <v/>
      </c>
      <c r="P68" s="18">
        <f>O68+(Assumptions!$C$9-M68)</f>
        <v/>
      </c>
      <c r="Q68" s="18">
        <f>P68-Assumptions!$C$10</f>
        <v/>
      </c>
      <c r="R68" s="21">
        <f>IF(Q68&lt;Assumptions!$C$12, "ALERT TRIGGERED", "COMPLIANT")</f>
        <v/>
      </c>
    </row>
    <row r="69">
      <c r="A69" s="19">
        <f>Data_Feed_Daily!A69</f>
        <v/>
      </c>
      <c r="B69" s="20">
        <f>IF(ISNUMBER(G68), G68, Assumptions!$C$14)</f>
        <v/>
      </c>
      <c r="C69" s="20">
        <f>Data_Feed_Daily!C69</f>
        <v/>
      </c>
      <c r="D69" s="20">
        <f>Data_Feed_Daily!E69-Data_Feed_Daily!F69</f>
        <v/>
      </c>
      <c r="E69" s="20">
        <f>C69-D69-Data_Feed_Daily!D69</f>
        <v/>
      </c>
      <c r="F69" s="20">
        <f>MAX(0, D69-(B69+C69))</f>
        <v/>
      </c>
      <c r="G69" s="20">
        <f>B69+C69-D69+F69</f>
        <v/>
      </c>
      <c r="H69" s="20">
        <f>IF(ISNUMBER(O68), O68, Assumptions!$C$13)</f>
        <v/>
      </c>
      <c r="I69" s="20">
        <f>Data_Feed_Daily!G69</f>
        <v/>
      </c>
      <c r="J69" s="20">
        <f>H69+I69-F69</f>
        <v/>
      </c>
      <c r="K69" s="20">
        <f>IF(J69&lt;Assumptions!$C$10, MIN(Assumptions!$C$10-J69, Assumptions!$C$9-IF(ISNUMBER(M68), M68, Assumptions!$C$15)), 0)</f>
        <v/>
      </c>
      <c r="L69" s="20">
        <f>IF(AND(J69&gt;Assumptions!$C$11, IF(ISNUMBER(M68), M68, Assumptions!$C$15)&gt;0), MIN(J69-Assumptions!$C$11, IF(ISNUMBER(M68), M68, Assumptions!$C$15)), 0)</f>
        <v/>
      </c>
      <c r="M69" s="20">
        <f>IF(ISNUMBER(M68), M68, Assumptions!$C$15)+K69-L69</f>
        <v/>
      </c>
      <c r="N69" s="20">
        <f>ROUND(M69*(Assumptions!$C$19/Assumptions!$C$8), 2)</f>
        <v/>
      </c>
      <c r="O69" s="20">
        <f>J69+K69-L69-N69</f>
        <v/>
      </c>
      <c r="P69" s="20">
        <f>O69+(Assumptions!$C$9-M69)</f>
        <v/>
      </c>
      <c r="Q69" s="20">
        <f>P69-Assumptions!$C$10</f>
        <v/>
      </c>
      <c r="R69" s="22">
        <f>IF(Q69&lt;Assumptions!$C$12, "ALERT TRIGGERED", "COMPLIANT")</f>
        <v/>
      </c>
    </row>
    <row r="70">
      <c r="A70" s="17">
        <f>Data_Feed_Daily!A70</f>
        <v/>
      </c>
      <c r="B70" s="18">
        <f>IF(ISNUMBER(G69), G69, Assumptions!$C$14)</f>
        <v/>
      </c>
      <c r="C70" s="18">
        <f>Data_Feed_Daily!C70</f>
        <v/>
      </c>
      <c r="D70" s="18">
        <f>Data_Feed_Daily!E70-Data_Feed_Daily!F70</f>
        <v/>
      </c>
      <c r="E70" s="18">
        <f>C70-D70-Data_Feed_Daily!D70</f>
        <v/>
      </c>
      <c r="F70" s="18">
        <f>MAX(0, D70-(B70+C70))</f>
        <v/>
      </c>
      <c r="G70" s="18">
        <f>B70+C70-D70+F70</f>
        <v/>
      </c>
      <c r="H70" s="18">
        <f>IF(ISNUMBER(O69), O69, Assumptions!$C$13)</f>
        <v/>
      </c>
      <c r="I70" s="18">
        <f>Data_Feed_Daily!G70</f>
        <v/>
      </c>
      <c r="J70" s="18">
        <f>H70+I70-F70</f>
        <v/>
      </c>
      <c r="K70" s="18">
        <f>IF(J70&lt;Assumptions!$C$10, MIN(Assumptions!$C$10-J70, Assumptions!$C$9-IF(ISNUMBER(M69), M69, Assumptions!$C$15)), 0)</f>
        <v/>
      </c>
      <c r="L70" s="18">
        <f>IF(AND(J70&gt;Assumptions!$C$11, IF(ISNUMBER(M69), M69, Assumptions!$C$15)&gt;0), MIN(J70-Assumptions!$C$11, IF(ISNUMBER(M69), M69, Assumptions!$C$15)), 0)</f>
        <v/>
      </c>
      <c r="M70" s="18">
        <f>IF(ISNUMBER(M69), M69, Assumptions!$C$15)+K70-L70</f>
        <v/>
      </c>
      <c r="N70" s="18">
        <f>ROUND(M70*(Assumptions!$C$19/Assumptions!$C$8), 2)</f>
        <v/>
      </c>
      <c r="O70" s="18">
        <f>J70+K70-L70-N70</f>
        <v/>
      </c>
      <c r="P70" s="18">
        <f>O70+(Assumptions!$C$9-M70)</f>
        <v/>
      </c>
      <c r="Q70" s="18">
        <f>P70-Assumptions!$C$10</f>
        <v/>
      </c>
      <c r="R70" s="21">
        <f>IF(Q70&lt;Assumptions!$C$12, "ALERT TRIGGERED", "COMPLIANT")</f>
        <v/>
      </c>
    </row>
    <row r="71">
      <c r="A71" s="19">
        <f>Data_Feed_Daily!A71</f>
        <v/>
      </c>
      <c r="B71" s="20">
        <f>IF(ISNUMBER(G70), G70, Assumptions!$C$14)</f>
        <v/>
      </c>
      <c r="C71" s="20">
        <f>Data_Feed_Daily!C71</f>
        <v/>
      </c>
      <c r="D71" s="20">
        <f>Data_Feed_Daily!E71-Data_Feed_Daily!F71</f>
        <v/>
      </c>
      <c r="E71" s="20">
        <f>C71-D71-Data_Feed_Daily!D71</f>
        <v/>
      </c>
      <c r="F71" s="20">
        <f>MAX(0, D71-(B71+C71))</f>
        <v/>
      </c>
      <c r="G71" s="20">
        <f>B71+C71-D71+F71</f>
        <v/>
      </c>
      <c r="H71" s="20">
        <f>IF(ISNUMBER(O70), O70, Assumptions!$C$13)</f>
        <v/>
      </c>
      <c r="I71" s="20">
        <f>Data_Feed_Daily!G71</f>
        <v/>
      </c>
      <c r="J71" s="20">
        <f>H71+I71-F71</f>
        <v/>
      </c>
      <c r="K71" s="20">
        <f>IF(J71&lt;Assumptions!$C$10, MIN(Assumptions!$C$10-J71, Assumptions!$C$9-IF(ISNUMBER(M70), M70, Assumptions!$C$15)), 0)</f>
        <v/>
      </c>
      <c r="L71" s="20">
        <f>IF(AND(J71&gt;Assumptions!$C$11, IF(ISNUMBER(M70), M70, Assumptions!$C$15)&gt;0), MIN(J71-Assumptions!$C$11, IF(ISNUMBER(M70), M70, Assumptions!$C$15)), 0)</f>
        <v/>
      </c>
      <c r="M71" s="20">
        <f>IF(ISNUMBER(M70), M70, Assumptions!$C$15)+K71-L71</f>
        <v/>
      </c>
      <c r="N71" s="20">
        <f>ROUND(M71*(Assumptions!$C$19/Assumptions!$C$8), 2)</f>
        <v/>
      </c>
      <c r="O71" s="20">
        <f>J71+K71-L71-N71</f>
        <v/>
      </c>
      <c r="P71" s="20">
        <f>O71+(Assumptions!$C$9-M71)</f>
        <v/>
      </c>
      <c r="Q71" s="20">
        <f>P71-Assumptions!$C$10</f>
        <v/>
      </c>
      <c r="R71" s="22">
        <f>IF(Q71&lt;Assumptions!$C$12, "ALERT TRIGGERED", "COMPLIANT")</f>
        <v/>
      </c>
    </row>
    <row r="72">
      <c r="A72" s="17">
        <f>Data_Feed_Daily!A72</f>
        <v/>
      </c>
      <c r="B72" s="18">
        <f>IF(ISNUMBER(G71), G71, Assumptions!$C$14)</f>
        <v/>
      </c>
      <c r="C72" s="18">
        <f>Data_Feed_Daily!C72</f>
        <v/>
      </c>
      <c r="D72" s="18">
        <f>Data_Feed_Daily!E72-Data_Feed_Daily!F72</f>
        <v/>
      </c>
      <c r="E72" s="18">
        <f>C72-D72-Data_Feed_Daily!D72</f>
        <v/>
      </c>
      <c r="F72" s="18">
        <f>MAX(0, D72-(B72+C72))</f>
        <v/>
      </c>
      <c r="G72" s="18">
        <f>B72+C72-D72+F72</f>
        <v/>
      </c>
      <c r="H72" s="18">
        <f>IF(ISNUMBER(O71), O71, Assumptions!$C$13)</f>
        <v/>
      </c>
      <c r="I72" s="18">
        <f>Data_Feed_Daily!G72</f>
        <v/>
      </c>
      <c r="J72" s="18">
        <f>H72+I72-F72</f>
        <v/>
      </c>
      <c r="K72" s="18">
        <f>IF(J72&lt;Assumptions!$C$10, MIN(Assumptions!$C$10-J72, Assumptions!$C$9-IF(ISNUMBER(M71), M71, Assumptions!$C$15)), 0)</f>
        <v/>
      </c>
      <c r="L72" s="18">
        <f>IF(AND(J72&gt;Assumptions!$C$11, IF(ISNUMBER(M71), M71, Assumptions!$C$15)&gt;0), MIN(J72-Assumptions!$C$11, IF(ISNUMBER(M71), M71, Assumptions!$C$15)), 0)</f>
        <v/>
      </c>
      <c r="M72" s="18">
        <f>IF(ISNUMBER(M71), M71, Assumptions!$C$15)+K72-L72</f>
        <v/>
      </c>
      <c r="N72" s="18">
        <f>ROUND(M72*(Assumptions!$C$19/Assumptions!$C$8), 2)</f>
        <v/>
      </c>
      <c r="O72" s="18">
        <f>J72+K72-L72-N72</f>
        <v/>
      </c>
      <c r="P72" s="18">
        <f>O72+(Assumptions!$C$9-M72)</f>
        <v/>
      </c>
      <c r="Q72" s="18">
        <f>P72-Assumptions!$C$10</f>
        <v/>
      </c>
      <c r="R72" s="21">
        <f>IF(Q72&lt;Assumptions!$C$12, "ALERT TRIGGERED", "COMPLIANT")</f>
        <v/>
      </c>
    </row>
    <row r="73">
      <c r="A73" s="19">
        <f>Data_Feed_Daily!A73</f>
        <v/>
      </c>
      <c r="B73" s="20">
        <f>IF(ISNUMBER(G72), G72, Assumptions!$C$14)</f>
        <v/>
      </c>
      <c r="C73" s="20">
        <f>Data_Feed_Daily!C73</f>
        <v/>
      </c>
      <c r="D73" s="20">
        <f>Data_Feed_Daily!E73-Data_Feed_Daily!F73</f>
        <v/>
      </c>
      <c r="E73" s="20">
        <f>C73-D73-Data_Feed_Daily!D73</f>
        <v/>
      </c>
      <c r="F73" s="20">
        <f>MAX(0, D73-(B73+C73))</f>
        <v/>
      </c>
      <c r="G73" s="20">
        <f>B73+C73-D73+F73</f>
        <v/>
      </c>
      <c r="H73" s="20">
        <f>IF(ISNUMBER(O72), O72, Assumptions!$C$13)</f>
        <v/>
      </c>
      <c r="I73" s="20">
        <f>Data_Feed_Daily!G73</f>
        <v/>
      </c>
      <c r="J73" s="20">
        <f>H73+I73-F73</f>
        <v/>
      </c>
      <c r="K73" s="20">
        <f>IF(J73&lt;Assumptions!$C$10, MIN(Assumptions!$C$10-J73, Assumptions!$C$9-IF(ISNUMBER(M72), M72, Assumptions!$C$15)), 0)</f>
        <v/>
      </c>
      <c r="L73" s="20">
        <f>IF(AND(J73&gt;Assumptions!$C$11, IF(ISNUMBER(M72), M72, Assumptions!$C$15)&gt;0), MIN(J73-Assumptions!$C$11, IF(ISNUMBER(M72), M72, Assumptions!$C$15)), 0)</f>
        <v/>
      </c>
      <c r="M73" s="20">
        <f>IF(ISNUMBER(M72), M72, Assumptions!$C$15)+K73-L73</f>
        <v/>
      </c>
      <c r="N73" s="20">
        <f>ROUND(M73*(Assumptions!$C$19/Assumptions!$C$8), 2)</f>
        <v/>
      </c>
      <c r="O73" s="20">
        <f>J73+K73-L73-N73</f>
        <v/>
      </c>
      <c r="P73" s="20">
        <f>O73+(Assumptions!$C$9-M73)</f>
        <v/>
      </c>
      <c r="Q73" s="20">
        <f>P73-Assumptions!$C$10</f>
        <v/>
      </c>
      <c r="R73" s="22">
        <f>IF(Q73&lt;Assumptions!$C$12, "ALERT TRIGGERED", "COMPLIANT")</f>
        <v/>
      </c>
    </row>
    <row r="74">
      <c r="A74" s="17">
        <f>Data_Feed_Daily!A74</f>
        <v/>
      </c>
      <c r="B74" s="18">
        <f>IF(ISNUMBER(G73), G73, Assumptions!$C$14)</f>
        <v/>
      </c>
      <c r="C74" s="18">
        <f>Data_Feed_Daily!C74</f>
        <v/>
      </c>
      <c r="D74" s="18">
        <f>Data_Feed_Daily!E74-Data_Feed_Daily!F74</f>
        <v/>
      </c>
      <c r="E74" s="18">
        <f>C74-D74-Data_Feed_Daily!D74</f>
        <v/>
      </c>
      <c r="F74" s="18">
        <f>MAX(0, D74-(B74+C74))</f>
        <v/>
      </c>
      <c r="G74" s="18">
        <f>B74+C74-D74+F74</f>
        <v/>
      </c>
      <c r="H74" s="18">
        <f>IF(ISNUMBER(O73), O73, Assumptions!$C$13)</f>
        <v/>
      </c>
      <c r="I74" s="18">
        <f>Data_Feed_Daily!G74</f>
        <v/>
      </c>
      <c r="J74" s="18">
        <f>H74+I74-F74</f>
        <v/>
      </c>
      <c r="K74" s="18">
        <f>IF(J74&lt;Assumptions!$C$10, MIN(Assumptions!$C$10-J74, Assumptions!$C$9-IF(ISNUMBER(M73), M73, Assumptions!$C$15)), 0)</f>
        <v/>
      </c>
      <c r="L74" s="18">
        <f>IF(AND(J74&gt;Assumptions!$C$11, IF(ISNUMBER(M73), M73, Assumptions!$C$15)&gt;0), MIN(J74-Assumptions!$C$11, IF(ISNUMBER(M73), M73, Assumptions!$C$15)), 0)</f>
        <v/>
      </c>
      <c r="M74" s="18">
        <f>IF(ISNUMBER(M73), M73, Assumptions!$C$15)+K74-L74</f>
        <v/>
      </c>
      <c r="N74" s="18">
        <f>ROUND(M74*(Assumptions!$C$19/Assumptions!$C$8), 2)</f>
        <v/>
      </c>
      <c r="O74" s="18">
        <f>J74+K74-L74-N74</f>
        <v/>
      </c>
      <c r="P74" s="18">
        <f>O74+(Assumptions!$C$9-M74)</f>
        <v/>
      </c>
      <c r="Q74" s="18">
        <f>P74-Assumptions!$C$10</f>
        <v/>
      </c>
      <c r="R74" s="21">
        <f>IF(Q74&lt;Assumptions!$C$12, "ALERT TRIGGERED", "COMPLIANT")</f>
        <v/>
      </c>
    </row>
    <row r="75">
      <c r="A75" s="19">
        <f>Data_Feed_Daily!A75</f>
        <v/>
      </c>
      <c r="B75" s="20">
        <f>IF(ISNUMBER(G74), G74, Assumptions!$C$14)</f>
        <v/>
      </c>
      <c r="C75" s="20">
        <f>Data_Feed_Daily!C75</f>
        <v/>
      </c>
      <c r="D75" s="20">
        <f>Data_Feed_Daily!E75-Data_Feed_Daily!F75</f>
        <v/>
      </c>
      <c r="E75" s="20">
        <f>C75-D75-Data_Feed_Daily!D75</f>
        <v/>
      </c>
      <c r="F75" s="20">
        <f>MAX(0, D75-(B75+C75))</f>
        <v/>
      </c>
      <c r="G75" s="20">
        <f>B75+C75-D75+F75</f>
        <v/>
      </c>
      <c r="H75" s="20">
        <f>IF(ISNUMBER(O74), O74, Assumptions!$C$13)</f>
        <v/>
      </c>
      <c r="I75" s="20">
        <f>Data_Feed_Daily!G75</f>
        <v/>
      </c>
      <c r="J75" s="20">
        <f>H75+I75-F75</f>
        <v/>
      </c>
      <c r="K75" s="20">
        <f>IF(J75&lt;Assumptions!$C$10, MIN(Assumptions!$C$10-J75, Assumptions!$C$9-IF(ISNUMBER(M74), M74, Assumptions!$C$15)), 0)</f>
        <v/>
      </c>
      <c r="L75" s="20">
        <f>IF(AND(J75&gt;Assumptions!$C$11, IF(ISNUMBER(M74), M74, Assumptions!$C$15)&gt;0), MIN(J75-Assumptions!$C$11, IF(ISNUMBER(M74), M74, Assumptions!$C$15)), 0)</f>
        <v/>
      </c>
      <c r="M75" s="20">
        <f>IF(ISNUMBER(M74), M74, Assumptions!$C$15)+K75-L75</f>
        <v/>
      </c>
      <c r="N75" s="20">
        <f>ROUND(M75*(Assumptions!$C$19/Assumptions!$C$8), 2)</f>
        <v/>
      </c>
      <c r="O75" s="20">
        <f>J75+K75-L75-N75</f>
        <v/>
      </c>
      <c r="P75" s="20">
        <f>O75+(Assumptions!$C$9-M75)</f>
        <v/>
      </c>
      <c r="Q75" s="20">
        <f>P75-Assumptions!$C$10</f>
        <v/>
      </c>
      <c r="R75" s="22">
        <f>IF(Q75&lt;Assumptions!$C$12, "ALERT TRIGGERED", "COMPLIANT")</f>
        <v/>
      </c>
    </row>
    <row r="76">
      <c r="A76" s="17">
        <f>Data_Feed_Daily!A76</f>
        <v/>
      </c>
      <c r="B76" s="18">
        <f>IF(ISNUMBER(G75), G75, Assumptions!$C$14)</f>
        <v/>
      </c>
      <c r="C76" s="18">
        <f>Data_Feed_Daily!C76</f>
        <v/>
      </c>
      <c r="D76" s="18">
        <f>Data_Feed_Daily!E76-Data_Feed_Daily!F76</f>
        <v/>
      </c>
      <c r="E76" s="18">
        <f>C76-D76-Data_Feed_Daily!D76</f>
        <v/>
      </c>
      <c r="F76" s="18">
        <f>MAX(0, D76-(B76+C76))</f>
        <v/>
      </c>
      <c r="G76" s="18">
        <f>B76+C76-D76+F76</f>
        <v/>
      </c>
      <c r="H76" s="18">
        <f>IF(ISNUMBER(O75), O75, Assumptions!$C$13)</f>
        <v/>
      </c>
      <c r="I76" s="18">
        <f>Data_Feed_Daily!G76</f>
        <v/>
      </c>
      <c r="J76" s="18">
        <f>H76+I76-F76</f>
        <v/>
      </c>
      <c r="K76" s="18">
        <f>IF(J76&lt;Assumptions!$C$10, MIN(Assumptions!$C$10-J76, Assumptions!$C$9-IF(ISNUMBER(M75), M75, Assumptions!$C$15)), 0)</f>
        <v/>
      </c>
      <c r="L76" s="18">
        <f>IF(AND(J76&gt;Assumptions!$C$11, IF(ISNUMBER(M75), M75, Assumptions!$C$15)&gt;0), MIN(J76-Assumptions!$C$11, IF(ISNUMBER(M75), M75, Assumptions!$C$15)), 0)</f>
        <v/>
      </c>
      <c r="M76" s="18">
        <f>IF(ISNUMBER(M75), M75, Assumptions!$C$15)+K76-L76</f>
        <v/>
      </c>
      <c r="N76" s="18">
        <f>ROUND(M76*(Assumptions!$C$19/Assumptions!$C$8), 2)</f>
        <v/>
      </c>
      <c r="O76" s="18">
        <f>J76+K76-L76-N76</f>
        <v/>
      </c>
      <c r="P76" s="18">
        <f>O76+(Assumptions!$C$9-M76)</f>
        <v/>
      </c>
      <c r="Q76" s="18">
        <f>P76-Assumptions!$C$10</f>
        <v/>
      </c>
      <c r="R76" s="21">
        <f>IF(Q76&lt;Assumptions!$C$12, "ALERT TRIGGERED", "COMPLIANT")</f>
        <v/>
      </c>
    </row>
    <row r="77">
      <c r="A77" s="19">
        <f>Data_Feed_Daily!A77</f>
        <v/>
      </c>
      <c r="B77" s="20">
        <f>IF(ISNUMBER(G76), G76, Assumptions!$C$14)</f>
        <v/>
      </c>
      <c r="C77" s="20">
        <f>Data_Feed_Daily!C77</f>
        <v/>
      </c>
      <c r="D77" s="20">
        <f>Data_Feed_Daily!E77-Data_Feed_Daily!F77</f>
        <v/>
      </c>
      <c r="E77" s="20">
        <f>C77-D77-Data_Feed_Daily!D77</f>
        <v/>
      </c>
      <c r="F77" s="20">
        <f>MAX(0, D77-(B77+C77))</f>
        <v/>
      </c>
      <c r="G77" s="20">
        <f>B77+C77-D77+F77</f>
        <v/>
      </c>
      <c r="H77" s="20">
        <f>IF(ISNUMBER(O76), O76, Assumptions!$C$13)</f>
        <v/>
      </c>
      <c r="I77" s="20">
        <f>Data_Feed_Daily!G77</f>
        <v/>
      </c>
      <c r="J77" s="20">
        <f>H77+I77-F77</f>
        <v/>
      </c>
      <c r="K77" s="20">
        <f>IF(J77&lt;Assumptions!$C$10, MIN(Assumptions!$C$10-J77, Assumptions!$C$9-IF(ISNUMBER(M76), M76, Assumptions!$C$15)), 0)</f>
        <v/>
      </c>
      <c r="L77" s="20">
        <f>IF(AND(J77&gt;Assumptions!$C$11, IF(ISNUMBER(M76), M76, Assumptions!$C$15)&gt;0), MIN(J77-Assumptions!$C$11, IF(ISNUMBER(M76), M76, Assumptions!$C$15)), 0)</f>
        <v/>
      </c>
      <c r="M77" s="20">
        <f>IF(ISNUMBER(M76), M76, Assumptions!$C$15)+K77-L77</f>
        <v/>
      </c>
      <c r="N77" s="20">
        <f>ROUND(M77*(Assumptions!$C$19/Assumptions!$C$8), 2)</f>
        <v/>
      </c>
      <c r="O77" s="20">
        <f>J77+K77-L77-N77</f>
        <v/>
      </c>
      <c r="P77" s="20">
        <f>O77+(Assumptions!$C$9-M77)</f>
        <v/>
      </c>
      <c r="Q77" s="20">
        <f>P77-Assumptions!$C$10</f>
        <v/>
      </c>
      <c r="R77" s="22">
        <f>IF(Q77&lt;Assumptions!$C$12, "ALERT TRIGGERED", "COMPLIANT")</f>
        <v/>
      </c>
    </row>
    <row r="78">
      <c r="A78" s="17">
        <f>Data_Feed_Daily!A78</f>
        <v/>
      </c>
      <c r="B78" s="18">
        <f>IF(ISNUMBER(G77), G77, Assumptions!$C$14)</f>
        <v/>
      </c>
      <c r="C78" s="18">
        <f>Data_Feed_Daily!C78</f>
        <v/>
      </c>
      <c r="D78" s="18">
        <f>Data_Feed_Daily!E78-Data_Feed_Daily!F78</f>
        <v/>
      </c>
      <c r="E78" s="18">
        <f>C78-D78-Data_Feed_Daily!D78</f>
        <v/>
      </c>
      <c r="F78" s="18">
        <f>MAX(0, D78-(B78+C78))</f>
        <v/>
      </c>
      <c r="G78" s="18">
        <f>B78+C78-D78+F78</f>
        <v/>
      </c>
      <c r="H78" s="18">
        <f>IF(ISNUMBER(O77), O77, Assumptions!$C$13)</f>
        <v/>
      </c>
      <c r="I78" s="18">
        <f>Data_Feed_Daily!G78</f>
        <v/>
      </c>
      <c r="J78" s="18">
        <f>H78+I78-F78</f>
        <v/>
      </c>
      <c r="K78" s="18">
        <f>IF(J78&lt;Assumptions!$C$10, MIN(Assumptions!$C$10-J78, Assumptions!$C$9-IF(ISNUMBER(M77), M77, Assumptions!$C$15)), 0)</f>
        <v/>
      </c>
      <c r="L78" s="18">
        <f>IF(AND(J78&gt;Assumptions!$C$11, IF(ISNUMBER(M77), M77, Assumptions!$C$15)&gt;0), MIN(J78-Assumptions!$C$11, IF(ISNUMBER(M77), M77, Assumptions!$C$15)), 0)</f>
        <v/>
      </c>
      <c r="M78" s="18">
        <f>IF(ISNUMBER(M77), M77, Assumptions!$C$15)+K78-L78</f>
        <v/>
      </c>
      <c r="N78" s="18">
        <f>ROUND(M78*(Assumptions!$C$19/Assumptions!$C$8), 2)</f>
        <v/>
      </c>
      <c r="O78" s="18">
        <f>J78+K78-L78-N78</f>
        <v/>
      </c>
      <c r="P78" s="18">
        <f>O78+(Assumptions!$C$9-M78)</f>
        <v/>
      </c>
      <c r="Q78" s="18">
        <f>P78-Assumptions!$C$10</f>
        <v/>
      </c>
      <c r="R78" s="21">
        <f>IF(Q78&lt;Assumptions!$C$12, "ALERT TRIGGERED", "COMPLIANT")</f>
        <v/>
      </c>
    </row>
    <row r="79">
      <c r="A79" s="19">
        <f>Data_Feed_Daily!A79</f>
        <v/>
      </c>
      <c r="B79" s="20">
        <f>IF(ISNUMBER(G78), G78, Assumptions!$C$14)</f>
        <v/>
      </c>
      <c r="C79" s="20">
        <f>Data_Feed_Daily!C79</f>
        <v/>
      </c>
      <c r="D79" s="20">
        <f>Data_Feed_Daily!E79-Data_Feed_Daily!F79</f>
        <v/>
      </c>
      <c r="E79" s="20">
        <f>C79-D79-Data_Feed_Daily!D79</f>
        <v/>
      </c>
      <c r="F79" s="20">
        <f>MAX(0, D79-(B79+C79))</f>
        <v/>
      </c>
      <c r="G79" s="20">
        <f>B79+C79-D79+F79</f>
        <v/>
      </c>
      <c r="H79" s="20">
        <f>IF(ISNUMBER(O78), O78, Assumptions!$C$13)</f>
        <v/>
      </c>
      <c r="I79" s="20">
        <f>Data_Feed_Daily!G79</f>
        <v/>
      </c>
      <c r="J79" s="20">
        <f>H79+I79-F79</f>
        <v/>
      </c>
      <c r="K79" s="20">
        <f>IF(J79&lt;Assumptions!$C$10, MIN(Assumptions!$C$10-J79, Assumptions!$C$9-IF(ISNUMBER(M78), M78, Assumptions!$C$15)), 0)</f>
        <v/>
      </c>
      <c r="L79" s="20">
        <f>IF(AND(J79&gt;Assumptions!$C$11, IF(ISNUMBER(M78), M78, Assumptions!$C$15)&gt;0), MIN(J79-Assumptions!$C$11, IF(ISNUMBER(M78), M78, Assumptions!$C$15)), 0)</f>
        <v/>
      </c>
      <c r="M79" s="20">
        <f>IF(ISNUMBER(M78), M78, Assumptions!$C$15)+K79-L79</f>
        <v/>
      </c>
      <c r="N79" s="20">
        <f>ROUND(M79*(Assumptions!$C$19/Assumptions!$C$8), 2)</f>
        <v/>
      </c>
      <c r="O79" s="20">
        <f>J79+K79-L79-N79</f>
        <v/>
      </c>
      <c r="P79" s="20">
        <f>O79+(Assumptions!$C$9-M79)</f>
        <v/>
      </c>
      <c r="Q79" s="20">
        <f>P79-Assumptions!$C$10</f>
        <v/>
      </c>
      <c r="R79" s="22">
        <f>IF(Q79&lt;Assumptions!$C$12, "ALERT TRIGGERED", "COMPLIANT")</f>
        <v/>
      </c>
    </row>
    <row r="80">
      <c r="A80" s="17">
        <f>Data_Feed_Daily!A80</f>
        <v/>
      </c>
      <c r="B80" s="18">
        <f>IF(ISNUMBER(G79), G79, Assumptions!$C$14)</f>
        <v/>
      </c>
      <c r="C80" s="18">
        <f>Data_Feed_Daily!C80</f>
        <v/>
      </c>
      <c r="D80" s="18">
        <f>Data_Feed_Daily!E80-Data_Feed_Daily!F80</f>
        <v/>
      </c>
      <c r="E80" s="18">
        <f>C80-D80-Data_Feed_Daily!D80</f>
        <v/>
      </c>
      <c r="F80" s="18">
        <f>MAX(0, D80-(B80+C80))</f>
        <v/>
      </c>
      <c r="G80" s="18">
        <f>B80+C80-D80+F80</f>
        <v/>
      </c>
      <c r="H80" s="18">
        <f>IF(ISNUMBER(O79), O79, Assumptions!$C$13)</f>
        <v/>
      </c>
      <c r="I80" s="18">
        <f>Data_Feed_Daily!G80</f>
        <v/>
      </c>
      <c r="J80" s="18">
        <f>H80+I80-F80</f>
        <v/>
      </c>
      <c r="K80" s="18">
        <f>IF(J80&lt;Assumptions!$C$10, MIN(Assumptions!$C$10-J80, Assumptions!$C$9-IF(ISNUMBER(M79), M79, Assumptions!$C$15)), 0)</f>
        <v/>
      </c>
      <c r="L80" s="18">
        <f>IF(AND(J80&gt;Assumptions!$C$11, IF(ISNUMBER(M79), M79, Assumptions!$C$15)&gt;0), MIN(J80-Assumptions!$C$11, IF(ISNUMBER(M79), M79, Assumptions!$C$15)), 0)</f>
        <v/>
      </c>
      <c r="M80" s="18">
        <f>IF(ISNUMBER(M79), M79, Assumptions!$C$15)+K80-L80</f>
        <v/>
      </c>
      <c r="N80" s="18">
        <f>ROUND(M80*(Assumptions!$C$19/Assumptions!$C$8), 2)</f>
        <v/>
      </c>
      <c r="O80" s="18">
        <f>J80+K80-L80-N80</f>
        <v/>
      </c>
      <c r="P80" s="18">
        <f>O80+(Assumptions!$C$9-M80)</f>
        <v/>
      </c>
      <c r="Q80" s="18">
        <f>P80-Assumptions!$C$10</f>
        <v/>
      </c>
      <c r="R80" s="21">
        <f>IF(Q80&lt;Assumptions!$C$12, "ALERT TRIGGERED", "COMPLIANT")</f>
        <v/>
      </c>
    </row>
    <row r="81">
      <c r="A81" s="19">
        <f>Data_Feed_Daily!A81</f>
        <v/>
      </c>
      <c r="B81" s="20">
        <f>IF(ISNUMBER(G80), G80, Assumptions!$C$14)</f>
        <v/>
      </c>
      <c r="C81" s="20">
        <f>Data_Feed_Daily!C81</f>
        <v/>
      </c>
      <c r="D81" s="20">
        <f>Data_Feed_Daily!E81-Data_Feed_Daily!F81</f>
        <v/>
      </c>
      <c r="E81" s="20">
        <f>C81-D81-Data_Feed_Daily!D81</f>
        <v/>
      </c>
      <c r="F81" s="20">
        <f>MAX(0, D81-(B81+C81))</f>
        <v/>
      </c>
      <c r="G81" s="20">
        <f>B81+C81-D81+F81</f>
        <v/>
      </c>
      <c r="H81" s="20">
        <f>IF(ISNUMBER(O80), O80, Assumptions!$C$13)</f>
        <v/>
      </c>
      <c r="I81" s="20">
        <f>Data_Feed_Daily!G81</f>
        <v/>
      </c>
      <c r="J81" s="20">
        <f>H81+I81-F81</f>
        <v/>
      </c>
      <c r="K81" s="20">
        <f>IF(J81&lt;Assumptions!$C$10, MIN(Assumptions!$C$10-J81, Assumptions!$C$9-IF(ISNUMBER(M80), M80, Assumptions!$C$15)), 0)</f>
        <v/>
      </c>
      <c r="L81" s="20">
        <f>IF(AND(J81&gt;Assumptions!$C$11, IF(ISNUMBER(M80), M80, Assumptions!$C$15)&gt;0), MIN(J81-Assumptions!$C$11, IF(ISNUMBER(M80), M80, Assumptions!$C$15)), 0)</f>
        <v/>
      </c>
      <c r="M81" s="20">
        <f>IF(ISNUMBER(M80), M80, Assumptions!$C$15)+K81-L81</f>
        <v/>
      </c>
      <c r="N81" s="20">
        <f>ROUND(M81*(Assumptions!$C$19/Assumptions!$C$8), 2)</f>
        <v/>
      </c>
      <c r="O81" s="20">
        <f>J81+K81-L81-N81</f>
        <v/>
      </c>
      <c r="P81" s="20">
        <f>O81+(Assumptions!$C$9-M81)</f>
        <v/>
      </c>
      <c r="Q81" s="20">
        <f>P81-Assumptions!$C$10</f>
        <v/>
      </c>
      <c r="R81" s="22">
        <f>IF(Q81&lt;Assumptions!$C$12, "ALERT TRIGGERED", "COMPLIANT")</f>
        <v/>
      </c>
    </row>
    <row r="82">
      <c r="A82" s="17">
        <f>Data_Feed_Daily!A82</f>
        <v/>
      </c>
      <c r="B82" s="18">
        <f>IF(ISNUMBER(G81), G81, Assumptions!$C$14)</f>
        <v/>
      </c>
      <c r="C82" s="18">
        <f>Data_Feed_Daily!C82</f>
        <v/>
      </c>
      <c r="D82" s="18">
        <f>Data_Feed_Daily!E82-Data_Feed_Daily!F82</f>
        <v/>
      </c>
      <c r="E82" s="18">
        <f>C82-D82-Data_Feed_Daily!D82</f>
        <v/>
      </c>
      <c r="F82" s="18">
        <f>MAX(0, D82-(B82+C82))</f>
        <v/>
      </c>
      <c r="G82" s="18">
        <f>B82+C82-D82+F82</f>
        <v/>
      </c>
      <c r="H82" s="18">
        <f>IF(ISNUMBER(O81), O81, Assumptions!$C$13)</f>
        <v/>
      </c>
      <c r="I82" s="18">
        <f>Data_Feed_Daily!G82</f>
        <v/>
      </c>
      <c r="J82" s="18">
        <f>H82+I82-F82</f>
        <v/>
      </c>
      <c r="K82" s="18">
        <f>IF(J82&lt;Assumptions!$C$10, MIN(Assumptions!$C$10-J82, Assumptions!$C$9-IF(ISNUMBER(M81), M81, Assumptions!$C$15)), 0)</f>
        <v/>
      </c>
      <c r="L82" s="18">
        <f>IF(AND(J82&gt;Assumptions!$C$11, IF(ISNUMBER(M81), M81, Assumptions!$C$15)&gt;0), MIN(J82-Assumptions!$C$11, IF(ISNUMBER(M81), M81, Assumptions!$C$15)), 0)</f>
        <v/>
      </c>
      <c r="M82" s="18">
        <f>IF(ISNUMBER(M81), M81, Assumptions!$C$15)+K82-L82</f>
        <v/>
      </c>
      <c r="N82" s="18">
        <f>ROUND(M82*(Assumptions!$C$19/Assumptions!$C$8), 2)</f>
        <v/>
      </c>
      <c r="O82" s="18">
        <f>J82+K82-L82-N82</f>
        <v/>
      </c>
      <c r="P82" s="18">
        <f>O82+(Assumptions!$C$9-M82)</f>
        <v/>
      </c>
      <c r="Q82" s="18">
        <f>P82-Assumptions!$C$10</f>
        <v/>
      </c>
      <c r="R82" s="21">
        <f>IF(Q82&lt;Assumptions!$C$12, "ALERT TRIGGERED", "COMPLIANT")</f>
        <v/>
      </c>
    </row>
    <row r="83">
      <c r="A83" s="19">
        <f>Data_Feed_Daily!A83</f>
        <v/>
      </c>
      <c r="B83" s="20">
        <f>IF(ISNUMBER(G82), G82, Assumptions!$C$14)</f>
        <v/>
      </c>
      <c r="C83" s="20">
        <f>Data_Feed_Daily!C83</f>
        <v/>
      </c>
      <c r="D83" s="20">
        <f>Data_Feed_Daily!E83-Data_Feed_Daily!F83</f>
        <v/>
      </c>
      <c r="E83" s="20">
        <f>C83-D83-Data_Feed_Daily!D83</f>
        <v/>
      </c>
      <c r="F83" s="20">
        <f>MAX(0, D83-(B83+C83))</f>
        <v/>
      </c>
      <c r="G83" s="20">
        <f>B83+C83-D83+F83</f>
        <v/>
      </c>
      <c r="H83" s="20">
        <f>IF(ISNUMBER(O82), O82, Assumptions!$C$13)</f>
        <v/>
      </c>
      <c r="I83" s="20">
        <f>Data_Feed_Daily!G83</f>
        <v/>
      </c>
      <c r="J83" s="20">
        <f>H83+I83-F83</f>
        <v/>
      </c>
      <c r="K83" s="20">
        <f>IF(J83&lt;Assumptions!$C$10, MIN(Assumptions!$C$10-J83, Assumptions!$C$9-IF(ISNUMBER(M82), M82, Assumptions!$C$15)), 0)</f>
        <v/>
      </c>
      <c r="L83" s="20">
        <f>IF(AND(J83&gt;Assumptions!$C$11, IF(ISNUMBER(M82), M82, Assumptions!$C$15)&gt;0), MIN(J83-Assumptions!$C$11, IF(ISNUMBER(M82), M82, Assumptions!$C$15)), 0)</f>
        <v/>
      </c>
      <c r="M83" s="20">
        <f>IF(ISNUMBER(M82), M82, Assumptions!$C$15)+K83-L83</f>
        <v/>
      </c>
      <c r="N83" s="20">
        <f>ROUND(M83*(Assumptions!$C$19/Assumptions!$C$8), 2)</f>
        <v/>
      </c>
      <c r="O83" s="20">
        <f>J83+K83-L83-N83</f>
        <v/>
      </c>
      <c r="P83" s="20">
        <f>O83+(Assumptions!$C$9-M83)</f>
        <v/>
      </c>
      <c r="Q83" s="20">
        <f>P83-Assumptions!$C$10</f>
        <v/>
      </c>
      <c r="R83" s="22">
        <f>IF(Q83&lt;Assumptions!$C$12, "ALERT TRIGGERED", "COMPLIANT")</f>
        <v/>
      </c>
    </row>
    <row r="84">
      <c r="A84" s="17">
        <f>Data_Feed_Daily!A84</f>
        <v/>
      </c>
      <c r="B84" s="18">
        <f>IF(ISNUMBER(G83), G83, Assumptions!$C$14)</f>
        <v/>
      </c>
      <c r="C84" s="18">
        <f>Data_Feed_Daily!C84</f>
        <v/>
      </c>
      <c r="D84" s="18">
        <f>Data_Feed_Daily!E84-Data_Feed_Daily!F84</f>
        <v/>
      </c>
      <c r="E84" s="18">
        <f>C84-D84-Data_Feed_Daily!D84</f>
        <v/>
      </c>
      <c r="F84" s="18">
        <f>MAX(0, D84-(B84+C84))</f>
        <v/>
      </c>
      <c r="G84" s="18">
        <f>B84+C84-D84+F84</f>
        <v/>
      </c>
      <c r="H84" s="18">
        <f>IF(ISNUMBER(O83), O83, Assumptions!$C$13)</f>
        <v/>
      </c>
      <c r="I84" s="18">
        <f>Data_Feed_Daily!G84</f>
        <v/>
      </c>
      <c r="J84" s="18">
        <f>H84+I84-F84</f>
        <v/>
      </c>
      <c r="K84" s="18">
        <f>IF(J84&lt;Assumptions!$C$10, MIN(Assumptions!$C$10-J84, Assumptions!$C$9-IF(ISNUMBER(M83), M83, Assumptions!$C$15)), 0)</f>
        <v/>
      </c>
      <c r="L84" s="18">
        <f>IF(AND(J84&gt;Assumptions!$C$11, IF(ISNUMBER(M83), M83, Assumptions!$C$15)&gt;0), MIN(J84-Assumptions!$C$11, IF(ISNUMBER(M83), M83, Assumptions!$C$15)), 0)</f>
        <v/>
      </c>
      <c r="M84" s="18">
        <f>IF(ISNUMBER(M83), M83, Assumptions!$C$15)+K84-L84</f>
        <v/>
      </c>
      <c r="N84" s="18">
        <f>ROUND(M84*(Assumptions!$C$19/Assumptions!$C$8), 2)</f>
        <v/>
      </c>
      <c r="O84" s="18">
        <f>J84+K84-L84-N84</f>
        <v/>
      </c>
      <c r="P84" s="18">
        <f>O84+(Assumptions!$C$9-M84)</f>
        <v/>
      </c>
      <c r="Q84" s="18">
        <f>P84-Assumptions!$C$10</f>
        <v/>
      </c>
      <c r="R84" s="21">
        <f>IF(Q84&lt;Assumptions!$C$12, "ALERT TRIGGERED", "COMPLIANT")</f>
        <v/>
      </c>
    </row>
    <row r="85">
      <c r="A85" s="19">
        <f>Data_Feed_Daily!A85</f>
        <v/>
      </c>
      <c r="B85" s="20">
        <f>IF(ISNUMBER(G84), G84, Assumptions!$C$14)</f>
        <v/>
      </c>
      <c r="C85" s="20">
        <f>Data_Feed_Daily!C85</f>
        <v/>
      </c>
      <c r="D85" s="20">
        <f>Data_Feed_Daily!E85-Data_Feed_Daily!F85</f>
        <v/>
      </c>
      <c r="E85" s="20">
        <f>C85-D85-Data_Feed_Daily!D85</f>
        <v/>
      </c>
      <c r="F85" s="20">
        <f>MAX(0, D85-(B85+C85))</f>
        <v/>
      </c>
      <c r="G85" s="20">
        <f>B85+C85-D85+F85</f>
        <v/>
      </c>
      <c r="H85" s="20">
        <f>IF(ISNUMBER(O84), O84, Assumptions!$C$13)</f>
        <v/>
      </c>
      <c r="I85" s="20">
        <f>Data_Feed_Daily!G85</f>
        <v/>
      </c>
      <c r="J85" s="20">
        <f>H85+I85-F85</f>
        <v/>
      </c>
      <c r="K85" s="20">
        <f>IF(J85&lt;Assumptions!$C$10, MIN(Assumptions!$C$10-J85, Assumptions!$C$9-IF(ISNUMBER(M84), M84, Assumptions!$C$15)), 0)</f>
        <v/>
      </c>
      <c r="L85" s="20">
        <f>IF(AND(J85&gt;Assumptions!$C$11, IF(ISNUMBER(M84), M84, Assumptions!$C$15)&gt;0), MIN(J85-Assumptions!$C$11, IF(ISNUMBER(M84), M84, Assumptions!$C$15)), 0)</f>
        <v/>
      </c>
      <c r="M85" s="20">
        <f>IF(ISNUMBER(M84), M84, Assumptions!$C$15)+K85-L85</f>
        <v/>
      </c>
      <c r="N85" s="20">
        <f>ROUND(M85*(Assumptions!$C$19/Assumptions!$C$8), 2)</f>
        <v/>
      </c>
      <c r="O85" s="20">
        <f>J85+K85-L85-N85</f>
        <v/>
      </c>
      <c r="P85" s="20">
        <f>O85+(Assumptions!$C$9-M85)</f>
        <v/>
      </c>
      <c r="Q85" s="20">
        <f>P85-Assumptions!$C$10</f>
        <v/>
      </c>
      <c r="R85" s="22">
        <f>IF(Q85&lt;Assumptions!$C$12, "ALERT TRIGGERED", "COMPLIANT")</f>
        <v/>
      </c>
    </row>
    <row r="86">
      <c r="A86" s="17">
        <f>Data_Feed_Daily!A86</f>
        <v/>
      </c>
      <c r="B86" s="18">
        <f>IF(ISNUMBER(G85), G85, Assumptions!$C$14)</f>
        <v/>
      </c>
      <c r="C86" s="18">
        <f>Data_Feed_Daily!C86</f>
        <v/>
      </c>
      <c r="D86" s="18">
        <f>Data_Feed_Daily!E86-Data_Feed_Daily!F86</f>
        <v/>
      </c>
      <c r="E86" s="18">
        <f>C86-D86-Data_Feed_Daily!D86</f>
        <v/>
      </c>
      <c r="F86" s="18">
        <f>MAX(0, D86-(B86+C86))</f>
        <v/>
      </c>
      <c r="G86" s="18">
        <f>B86+C86-D86+F86</f>
        <v/>
      </c>
      <c r="H86" s="18">
        <f>IF(ISNUMBER(O85), O85, Assumptions!$C$13)</f>
        <v/>
      </c>
      <c r="I86" s="18">
        <f>Data_Feed_Daily!G86</f>
        <v/>
      </c>
      <c r="J86" s="18">
        <f>H86+I86-F86</f>
        <v/>
      </c>
      <c r="K86" s="18">
        <f>IF(J86&lt;Assumptions!$C$10, MIN(Assumptions!$C$10-J86, Assumptions!$C$9-IF(ISNUMBER(M85), M85, Assumptions!$C$15)), 0)</f>
        <v/>
      </c>
      <c r="L86" s="18">
        <f>IF(AND(J86&gt;Assumptions!$C$11, IF(ISNUMBER(M85), M85, Assumptions!$C$15)&gt;0), MIN(J86-Assumptions!$C$11, IF(ISNUMBER(M85), M85, Assumptions!$C$15)), 0)</f>
        <v/>
      </c>
      <c r="M86" s="18">
        <f>IF(ISNUMBER(M85), M85, Assumptions!$C$15)+K86-L86</f>
        <v/>
      </c>
      <c r="N86" s="18">
        <f>ROUND(M86*(Assumptions!$C$19/Assumptions!$C$8), 2)</f>
        <v/>
      </c>
      <c r="O86" s="18">
        <f>J86+K86-L86-N86</f>
        <v/>
      </c>
      <c r="P86" s="18">
        <f>O86+(Assumptions!$C$9-M86)</f>
        <v/>
      </c>
      <c r="Q86" s="18">
        <f>P86-Assumptions!$C$10</f>
        <v/>
      </c>
      <c r="R86" s="21">
        <f>IF(Q86&lt;Assumptions!$C$12, "ALERT TRIGGERED", "COMPLIANT")</f>
        <v/>
      </c>
    </row>
    <row r="87">
      <c r="A87" s="19">
        <f>Data_Feed_Daily!A87</f>
        <v/>
      </c>
      <c r="B87" s="20">
        <f>IF(ISNUMBER(G86), G86, Assumptions!$C$14)</f>
        <v/>
      </c>
      <c r="C87" s="20">
        <f>Data_Feed_Daily!C87</f>
        <v/>
      </c>
      <c r="D87" s="20">
        <f>Data_Feed_Daily!E87-Data_Feed_Daily!F87</f>
        <v/>
      </c>
      <c r="E87" s="20">
        <f>C87-D87-Data_Feed_Daily!D87</f>
        <v/>
      </c>
      <c r="F87" s="20">
        <f>MAX(0, D87-(B87+C87))</f>
        <v/>
      </c>
      <c r="G87" s="20">
        <f>B87+C87-D87+F87</f>
        <v/>
      </c>
      <c r="H87" s="20">
        <f>IF(ISNUMBER(O86), O86, Assumptions!$C$13)</f>
        <v/>
      </c>
      <c r="I87" s="20">
        <f>Data_Feed_Daily!G87</f>
        <v/>
      </c>
      <c r="J87" s="20">
        <f>H87+I87-F87</f>
        <v/>
      </c>
      <c r="K87" s="20">
        <f>IF(J87&lt;Assumptions!$C$10, MIN(Assumptions!$C$10-J87, Assumptions!$C$9-IF(ISNUMBER(M86), M86, Assumptions!$C$15)), 0)</f>
        <v/>
      </c>
      <c r="L87" s="20">
        <f>IF(AND(J87&gt;Assumptions!$C$11, IF(ISNUMBER(M86), M86, Assumptions!$C$15)&gt;0), MIN(J87-Assumptions!$C$11, IF(ISNUMBER(M86), M86, Assumptions!$C$15)), 0)</f>
        <v/>
      </c>
      <c r="M87" s="20">
        <f>IF(ISNUMBER(M86), M86, Assumptions!$C$15)+K87-L87</f>
        <v/>
      </c>
      <c r="N87" s="20">
        <f>ROUND(M87*(Assumptions!$C$19/Assumptions!$C$8), 2)</f>
        <v/>
      </c>
      <c r="O87" s="20">
        <f>J87+K87-L87-N87</f>
        <v/>
      </c>
      <c r="P87" s="20">
        <f>O87+(Assumptions!$C$9-M87)</f>
        <v/>
      </c>
      <c r="Q87" s="20">
        <f>P87-Assumptions!$C$10</f>
        <v/>
      </c>
      <c r="R87" s="22">
        <f>IF(Q87&lt;Assumptions!$C$12, "ALERT TRIGGERED", "COMPLIANT")</f>
        <v/>
      </c>
    </row>
    <row r="88">
      <c r="A88" s="17">
        <f>Data_Feed_Daily!A88</f>
        <v/>
      </c>
      <c r="B88" s="18">
        <f>IF(ISNUMBER(G87), G87, Assumptions!$C$14)</f>
        <v/>
      </c>
      <c r="C88" s="18">
        <f>Data_Feed_Daily!C88</f>
        <v/>
      </c>
      <c r="D88" s="18">
        <f>Data_Feed_Daily!E88-Data_Feed_Daily!F88</f>
        <v/>
      </c>
      <c r="E88" s="18">
        <f>C88-D88-Data_Feed_Daily!D88</f>
        <v/>
      </c>
      <c r="F88" s="18">
        <f>MAX(0, D88-(B88+C88))</f>
        <v/>
      </c>
      <c r="G88" s="18">
        <f>B88+C88-D88+F88</f>
        <v/>
      </c>
      <c r="H88" s="18">
        <f>IF(ISNUMBER(O87), O87, Assumptions!$C$13)</f>
        <v/>
      </c>
      <c r="I88" s="18">
        <f>Data_Feed_Daily!G88</f>
        <v/>
      </c>
      <c r="J88" s="18">
        <f>H88+I88-F88</f>
        <v/>
      </c>
      <c r="K88" s="18">
        <f>IF(J88&lt;Assumptions!$C$10, MIN(Assumptions!$C$10-J88, Assumptions!$C$9-IF(ISNUMBER(M87), M87, Assumptions!$C$15)), 0)</f>
        <v/>
      </c>
      <c r="L88" s="18">
        <f>IF(AND(J88&gt;Assumptions!$C$11, IF(ISNUMBER(M87), M87, Assumptions!$C$15)&gt;0), MIN(J88-Assumptions!$C$11, IF(ISNUMBER(M87), M87, Assumptions!$C$15)), 0)</f>
        <v/>
      </c>
      <c r="M88" s="18">
        <f>IF(ISNUMBER(M87), M87, Assumptions!$C$15)+K88-L88</f>
        <v/>
      </c>
      <c r="N88" s="18">
        <f>ROUND(M88*(Assumptions!$C$19/Assumptions!$C$8), 2)</f>
        <v/>
      </c>
      <c r="O88" s="18">
        <f>J88+K88-L88-N88</f>
        <v/>
      </c>
      <c r="P88" s="18">
        <f>O88+(Assumptions!$C$9-M88)</f>
        <v/>
      </c>
      <c r="Q88" s="18">
        <f>P88-Assumptions!$C$10</f>
        <v/>
      </c>
      <c r="R88" s="21">
        <f>IF(Q88&lt;Assumptions!$C$12, "ALERT TRIGGERED", "COMPLIANT")</f>
        <v/>
      </c>
    </row>
    <row r="89">
      <c r="A89" s="19">
        <f>Data_Feed_Daily!A89</f>
        <v/>
      </c>
      <c r="B89" s="20">
        <f>IF(ISNUMBER(G88), G88, Assumptions!$C$14)</f>
        <v/>
      </c>
      <c r="C89" s="20">
        <f>Data_Feed_Daily!C89</f>
        <v/>
      </c>
      <c r="D89" s="20">
        <f>Data_Feed_Daily!E89-Data_Feed_Daily!F89</f>
        <v/>
      </c>
      <c r="E89" s="20">
        <f>C89-D89-Data_Feed_Daily!D89</f>
        <v/>
      </c>
      <c r="F89" s="20">
        <f>MAX(0, D89-(B89+C89))</f>
        <v/>
      </c>
      <c r="G89" s="20">
        <f>B89+C89-D89+F89</f>
        <v/>
      </c>
      <c r="H89" s="20">
        <f>IF(ISNUMBER(O88), O88, Assumptions!$C$13)</f>
        <v/>
      </c>
      <c r="I89" s="20">
        <f>Data_Feed_Daily!G89</f>
        <v/>
      </c>
      <c r="J89" s="20">
        <f>H89+I89-F89</f>
        <v/>
      </c>
      <c r="K89" s="20">
        <f>IF(J89&lt;Assumptions!$C$10, MIN(Assumptions!$C$10-J89, Assumptions!$C$9-IF(ISNUMBER(M88), M88, Assumptions!$C$15)), 0)</f>
        <v/>
      </c>
      <c r="L89" s="20">
        <f>IF(AND(J89&gt;Assumptions!$C$11, IF(ISNUMBER(M88), M88, Assumptions!$C$15)&gt;0), MIN(J89-Assumptions!$C$11, IF(ISNUMBER(M88), M88, Assumptions!$C$15)), 0)</f>
        <v/>
      </c>
      <c r="M89" s="20">
        <f>IF(ISNUMBER(M88), M88, Assumptions!$C$15)+K89-L89</f>
        <v/>
      </c>
      <c r="N89" s="20">
        <f>ROUND(M89*(Assumptions!$C$19/Assumptions!$C$8), 2)</f>
        <v/>
      </c>
      <c r="O89" s="20">
        <f>J89+K89-L89-N89</f>
        <v/>
      </c>
      <c r="P89" s="20">
        <f>O89+(Assumptions!$C$9-M89)</f>
        <v/>
      </c>
      <c r="Q89" s="20">
        <f>P89-Assumptions!$C$10</f>
        <v/>
      </c>
      <c r="R89" s="22">
        <f>IF(Q89&lt;Assumptions!$C$12, "ALERT TRIGGERED", "COMPLIANT")</f>
        <v/>
      </c>
    </row>
    <row r="90">
      <c r="A90" s="17">
        <f>Data_Feed_Daily!A90</f>
        <v/>
      </c>
      <c r="B90" s="18">
        <f>IF(ISNUMBER(G89), G89, Assumptions!$C$14)</f>
        <v/>
      </c>
      <c r="C90" s="18">
        <f>Data_Feed_Daily!C90</f>
        <v/>
      </c>
      <c r="D90" s="18">
        <f>Data_Feed_Daily!E90-Data_Feed_Daily!F90</f>
        <v/>
      </c>
      <c r="E90" s="18">
        <f>C90-D90-Data_Feed_Daily!D90</f>
        <v/>
      </c>
      <c r="F90" s="18">
        <f>MAX(0, D90-(B90+C90))</f>
        <v/>
      </c>
      <c r="G90" s="18">
        <f>B90+C90-D90+F90</f>
        <v/>
      </c>
      <c r="H90" s="18">
        <f>IF(ISNUMBER(O89), O89, Assumptions!$C$13)</f>
        <v/>
      </c>
      <c r="I90" s="18">
        <f>Data_Feed_Daily!G90</f>
        <v/>
      </c>
      <c r="J90" s="18">
        <f>H90+I90-F90</f>
        <v/>
      </c>
      <c r="K90" s="18">
        <f>IF(J90&lt;Assumptions!$C$10, MIN(Assumptions!$C$10-J90, Assumptions!$C$9-IF(ISNUMBER(M89), M89, Assumptions!$C$15)), 0)</f>
        <v/>
      </c>
      <c r="L90" s="18">
        <f>IF(AND(J90&gt;Assumptions!$C$11, IF(ISNUMBER(M89), M89, Assumptions!$C$15)&gt;0), MIN(J90-Assumptions!$C$11, IF(ISNUMBER(M89), M89, Assumptions!$C$15)), 0)</f>
        <v/>
      </c>
      <c r="M90" s="18">
        <f>IF(ISNUMBER(M89), M89, Assumptions!$C$15)+K90-L90</f>
        <v/>
      </c>
      <c r="N90" s="18">
        <f>ROUND(M90*(Assumptions!$C$19/Assumptions!$C$8), 2)</f>
        <v/>
      </c>
      <c r="O90" s="18">
        <f>J90+K90-L90-N90</f>
        <v/>
      </c>
      <c r="P90" s="18">
        <f>O90+(Assumptions!$C$9-M90)</f>
        <v/>
      </c>
      <c r="Q90" s="18">
        <f>P90-Assumptions!$C$10</f>
        <v/>
      </c>
      <c r="R90" s="21">
        <f>IF(Q90&lt;Assumptions!$C$12, "ALERT TRIGGERED", "COMPLIANT")</f>
        <v/>
      </c>
    </row>
    <row r="91">
      <c r="A91" s="19">
        <f>Data_Feed_Daily!A91</f>
        <v/>
      </c>
      <c r="B91" s="20">
        <f>IF(ISNUMBER(G90), G90, Assumptions!$C$14)</f>
        <v/>
      </c>
      <c r="C91" s="20">
        <f>Data_Feed_Daily!C91</f>
        <v/>
      </c>
      <c r="D91" s="20">
        <f>Data_Feed_Daily!E91-Data_Feed_Daily!F91</f>
        <v/>
      </c>
      <c r="E91" s="20">
        <f>C91-D91-Data_Feed_Daily!D91</f>
        <v/>
      </c>
      <c r="F91" s="20">
        <f>MAX(0, D91-(B91+C91))</f>
        <v/>
      </c>
      <c r="G91" s="20">
        <f>B91+C91-D91+F91</f>
        <v/>
      </c>
      <c r="H91" s="20">
        <f>IF(ISNUMBER(O90), O90, Assumptions!$C$13)</f>
        <v/>
      </c>
      <c r="I91" s="20">
        <f>Data_Feed_Daily!G91</f>
        <v/>
      </c>
      <c r="J91" s="20">
        <f>H91+I91-F91</f>
        <v/>
      </c>
      <c r="K91" s="20">
        <f>IF(J91&lt;Assumptions!$C$10, MIN(Assumptions!$C$10-J91, Assumptions!$C$9-IF(ISNUMBER(M90), M90, Assumptions!$C$15)), 0)</f>
        <v/>
      </c>
      <c r="L91" s="20">
        <f>IF(AND(J91&gt;Assumptions!$C$11, IF(ISNUMBER(M90), M90, Assumptions!$C$15)&gt;0), MIN(J91-Assumptions!$C$11, IF(ISNUMBER(M90), M90, Assumptions!$C$15)), 0)</f>
        <v/>
      </c>
      <c r="M91" s="20">
        <f>IF(ISNUMBER(M90), M90, Assumptions!$C$15)+K91-L91</f>
        <v/>
      </c>
      <c r="N91" s="20">
        <f>ROUND(M91*(Assumptions!$C$19/Assumptions!$C$8), 2)</f>
        <v/>
      </c>
      <c r="O91" s="20">
        <f>J91+K91-L91-N91</f>
        <v/>
      </c>
      <c r="P91" s="20">
        <f>O91+(Assumptions!$C$9-M91)</f>
        <v/>
      </c>
      <c r="Q91" s="20">
        <f>P91-Assumptions!$C$10</f>
        <v/>
      </c>
      <c r="R91" s="22">
        <f>IF(Q91&lt;Assumptions!$C$12, "ALERT TRIGGERED", "COMPLIANT")</f>
        <v/>
      </c>
    </row>
    <row r="92">
      <c r="A92" s="17">
        <f>Data_Feed_Daily!A92</f>
        <v/>
      </c>
      <c r="B92" s="18">
        <f>IF(ISNUMBER(G91), G91, Assumptions!$C$14)</f>
        <v/>
      </c>
      <c r="C92" s="18">
        <f>Data_Feed_Daily!C92</f>
        <v/>
      </c>
      <c r="D92" s="18">
        <f>Data_Feed_Daily!E92-Data_Feed_Daily!F92</f>
        <v/>
      </c>
      <c r="E92" s="18">
        <f>C92-D92-Data_Feed_Daily!D92</f>
        <v/>
      </c>
      <c r="F92" s="18">
        <f>MAX(0, D92-(B92+C92))</f>
        <v/>
      </c>
      <c r="G92" s="18">
        <f>B92+C92-D92+F92</f>
        <v/>
      </c>
      <c r="H92" s="18">
        <f>IF(ISNUMBER(O91), O91, Assumptions!$C$13)</f>
        <v/>
      </c>
      <c r="I92" s="18">
        <f>Data_Feed_Daily!G92</f>
        <v/>
      </c>
      <c r="J92" s="18">
        <f>H92+I92-F92</f>
        <v/>
      </c>
      <c r="K92" s="18">
        <f>IF(J92&lt;Assumptions!$C$10, MIN(Assumptions!$C$10-J92, Assumptions!$C$9-IF(ISNUMBER(M91), M91, Assumptions!$C$15)), 0)</f>
        <v/>
      </c>
      <c r="L92" s="18">
        <f>IF(AND(J92&gt;Assumptions!$C$11, IF(ISNUMBER(M91), M91, Assumptions!$C$15)&gt;0), MIN(J92-Assumptions!$C$11, IF(ISNUMBER(M91), M91, Assumptions!$C$15)), 0)</f>
        <v/>
      </c>
      <c r="M92" s="18">
        <f>IF(ISNUMBER(M91), M91, Assumptions!$C$15)+K92-L92</f>
        <v/>
      </c>
      <c r="N92" s="18">
        <f>ROUND(M92*(Assumptions!$C$19/Assumptions!$C$8), 2)</f>
        <v/>
      </c>
      <c r="O92" s="18">
        <f>J92+K92-L92-N92</f>
        <v/>
      </c>
      <c r="P92" s="18">
        <f>O92+(Assumptions!$C$9-M92)</f>
        <v/>
      </c>
      <c r="Q92" s="18">
        <f>P92-Assumptions!$C$10</f>
        <v/>
      </c>
      <c r="R92" s="21">
        <f>IF(Q92&lt;Assumptions!$C$12, "ALERT TRIGGERED", "COMPLIANT")</f>
        <v/>
      </c>
    </row>
    <row r="93">
      <c r="A93" s="19">
        <f>Data_Feed_Daily!A93</f>
        <v/>
      </c>
      <c r="B93" s="20">
        <f>IF(ISNUMBER(G92), G92, Assumptions!$C$14)</f>
        <v/>
      </c>
      <c r="C93" s="20">
        <f>Data_Feed_Daily!C93</f>
        <v/>
      </c>
      <c r="D93" s="20">
        <f>Data_Feed_Daily!E93-Data_Feed_Daily!F93</f>
        <v/>
      </c>
      <c r="E93" s="20">
        <f>C93-D93-Data_Feed_Daily!D93</f>
        <v/>
      </c>
      <c r="F93" s="20">
        <f>MAX(0, D93-(B93+C93))</f>
        <v/>
      </c>
      <c r="G93" s="20">
        <f>B93+C93-D93+F93</f>
        <v/>
      </c>
      <c r="H93" s="20">
        <f>IF(ISNUMBER(O92), O92, Assumptions!$C$13)</f>
        <v/>
      </c>
      <c r="I93" s="20">
        <f>Data_Feed_Daily!G93</f>
        <v/>
      </c>
      <c r="J93" s="20">
        <f>H93+I93-F93</f>
        <v/>
      </c>
      <c r="K93" s="20">
        <f>IF(J93&lt;Assumptions!$C$10, MIN(Assumptions!$C$10-J93, Assumptions!$C$9-IF(ISNUMBER(M92), M92, Assumptions!$C$15)), 0)</f>
        <v/>
      </c>
      <c r="L93" s="20">
        <f>IF(AND(J93&gt;Assumptions!$C$11, IF(ISNUMBER(M92), M92, Assumptions!$C$15)&gt;0), MIN(J93-Assumptions!$C$11, IF(ISNUMBER(M92), M92, Assumptions!$C$15)), 0)</f>
        <v/>
      </c>
      <c r="M93" s="20">
        <f>IF(ISNUMBER(M92), M92, Assumptions!$C$15)+K93-L93</f>
        <v/>
      </c>
      <c r="N93" s="20">
        <f>ROUND(M93*(Assumptions!$C$19/Assumptions!$C$8), 2)</f>
        <v/>
      </c>
      <c r="O93" s="20">
        <f>J93+K93-L93-N93</f>
        <v/>
      </c>
      <c r="P93" s="20">
        <f>O93+(Assumptions!$C$9-M93)</f>
        <v/>
      </c>
      <c r="Q93" s="20">
        <f>P93-Assumptions!$C$10</f>
        <v/>
      </c>
      <c r="R93" s="22">
        <f>IF(Q93&lt;Assumptions!$C$12, "ALERT TRIGGERED", "COMPLIANT")</f>
        <v/>
      </c>
    </row>
    <row r="94">
      <c r="A94" s="17">
        <f>Data_Feed_Daily!A94</f>
        <v/>
      </c>
      <c r="B94" s="18">
        <f>IF(ISNUMBER(G93), G93, Assumptions!$C$14)</f>
        <v/>
      </c>
      <c r="C94" s="18">
        <f>Data_Feed_Daily!C94</f>
        <v/>
      </c>
      <c r="D94" s="18">
        <f>Data_Feed_Daily!E94-Data_Feed_Daily!F94</f>
        <v/>
      </c>
      <c r="E94" s="18">
        <f>C94-D94-Data_Feed_Daily!D94</f>
        <v/>
      </c>
      <c r="F94" s="18">
        <f>MAX(0, D94-(B94+C94))</f>
        <v/>
      </c>
      <c r="G94" s="18">
        <f>B94+C94-D94+F94</f>
        <v/>
      </c>
      <c r="H94" s="18">
        <f>IF(ISNUMBER(O93), O93, Assumptions!$C$13)</f>
        <v/>
      </c>
      <c r="I94" s="18">
        <f>Data_Feed_Daily!G94</f>
        <v/>
      </c>
      <c r="J94" s="18">
        <f>H94+I94-F94</f>
        <v/>
      </c>
      <c r="K94" s="18">
        <f>IF(J94&lt;Assumptions!$C$10, MIN(Assumptions!$C$10-J94, Assumptions!$C$9-IF(ISNUMBER(M93), M93, Assumptions!$C$15)), 0)</f>
        <v/>
      </c>
      <c r="L94" s="18">
        <f>IF(AND(J94&gt;Assumptions!$C$11, IF(ISNUMBER(M93), M93, Assumptions!$C$15)&gt;0), MIN(J94-Assumptions!$C$11, IF(ISNUMBER(M93), M93, Assumptions!$C$15)), 0)</f>
        <v/>
      </c>
      <c r="M94" s="18">
        <f>IF(ISNUMBER(M93), M93, Assumptions!$C$15)+K94-L94</f>
        <v/>
      </c>
      <c r="N94" s="18">
        <f>ROUND(M94*(Assumptions!$C$19/Assumptions!$C$8), 2)</f>
        <v/>
      </c>
      <c r="O94" s="18">
        <f>J94+K94-L94-N94</f>
        <v/>
      </c>
      <c r="P94" s="18">
        <f>O94+(Assumptions!$C$9-M94)</f>
        <v/>
      </c>
      <c r="Q94" s="18">
        <f>P94-Assumptions!$C$10</f>
        <v/>
      </c>
      <c r="R94" s="21">
        <f>IF(Q94&lt;Assumptions!$C$12, "ALERT TRIGGERED", "COMPLIANT")</f>
        <v/>
      </c>
    </row>
    <row r="95">
      <c r="A95" s="19">
        <f>Data_Feed_Daily!A95</f>
        <v/>
      </c>
      <c r="B95" s="20">
        <f>IF(ISNUMBER(G94), G94, Assumptions!$C$14)</f>
        <v/>
      </c>
      <c r="C95" s="20">
        <f>Data_Feed_Daily!C95</f>
        <v/>
      </c>
      <c r="D95" s="20">
        <f>Data_Feed_Daily!E95-Data_Feed_Daily!F95</f>
        <v/>
      </c>
      <c r="E95" s="20">
        <f>C95-D95-Data_Feed_Daily!D95</f>
        <v/>
      </c>
      <c r="F95" s="20">
        <f>MAX(0, D95-(B95+C95))</f>
        <v/>
      </c>
      <c r="G95" s="20">
        <f>B95+C95-D95+F95</f>
        <v/>
      </c>
      <c r="H95" s="20">
        <f>IF(ISNUMBER(O94), O94, Assumptions!$C$13)</f>
        <v/>
      </c>
      <c r="I95" s="20">
        <f>Data_Feed_Daily!G95</f>
        <v/>
      </c>
      <c r="J95" s="20">
        <f>H95+I95-F95</f>
        <v/>
      </c>
      <c r="K95" s="20">
        <f>IF(J95&lt;Assumptions!$C$10, MIN(Assumptions!$C$10-J95, Assumptions!$C$9-IF(ISNUMBER(M94), M94, Assumptions!$C$15)), 0)</f>
        <v/>
      </c>
      <c r="L95" s="20">
        <f>IF(AND(J95&gt;Assumptions!$C$11, IF(ISNUMBER(M94), M94, Assumptions!$C$15)&gt;0), MIN(J95-Assumptions!$C$11, IF(ISNUMBER(M94), M94, Assumptions!$C$15)), 0)</f>
        <v/>
      </c>
      <c r="M95" s="20">
        <f>IF(ISNUMBER(M94), M94, Assumptions!$C$15)+K95-L95</f>
        <v/>
      </c>
      <c r="N95" s="20">
        <f>ROUND(M95*(Assumptions!$C$19/Assumptions!$C$8), 2)</f>
        <v/>
      </c>
      <c r="O95" s="20">
        <f>J95+K95-L95-N95</f>
        <v/>
      </c>
      <c r="P95" s="20">
        <f>O95+(Assumptions!$C$9-M95)</f>
        <v/>
      </c>
      <c r="Q95" s="20">
        <f>P95-Assumptions!$C$10</f>
        <v/>
      </c>
      <c r="R95" s="22">
        <f>IF(Q95&lt;Assumptions!$C$12, "ALERT TRIGGERED", "COMPLIANT")</f>
        <v/>
      </c>
    </row>
    <row r="96">
      <c r="A96" s="17">
        <f>Data_Feed_Daily!A96</f>
        <v/>
      </c>
      <c r="B96" s="18">
        <f>IF(ISNUMBER(G95), G95, Assumptions!$C$14)</f>
        <v/>
      </c>
      <c r="C96" s="18">
        <f>Data_Feed_Daily!C96</f>
        <v/>
      </c>
      <c r="D96" s="18">
        <f>Data_Feed_Daily!E96-Data_Feed_Daily!F96</f>
        <v/>
      </c>
      <c r="E96" s="18">
        <f>C96-D96-Data_Feed_Daily!D96</f>
        <v/>
      </c>
      <c r="F96" s="18">
        <f>MAX(0, D96-(B96+C96))</f>
        <v/>
      </c>
      <c r="G96" s="18">
        <f>B96+C96-D96+F96</f>
        <v/>
      </c>
      <c r="H96" s="18">
        <f>IF(ISNUMBER(O95), O95, Assumptions!$C$13)</f>
        <v/>
      </c>
      <c r="I96" s="18">
        <f>Data_Feed_Daily!G96</f>
        <v/>
      </c>
      <c r="J96" s="18">
        <f>H96+I96-F96</f>
        <v/>
      </c>
      <c r="K96" s="18">
        <f>IF(J96&lt;Assumptions!$C$10, MIN(Assumptions!$C$10-J96, Assumptions!$C$9-IF(ISNUMBER(M95), M95, Assumptions!$C$15)), 0)</f>
        <v/>
      </c>
      <c r="L96" s="18">
        <f>IF(AND(J96&gt;Assumptions!$C$11, IF(ISNUMBER(M95), M95, Assumptions!$C$15)&gt;0), MIN(J96-Assumptions!$C$11, IF(ISNUMBER(M95), M95, Assumptions!$C$15)), 0)</f>
        <v/>
      </c>
      <c r="M96" s="18">
        <f>IF(ISNUMBER(M95), M95, Assumptions!$C$15)+K96-L96</f>
        <v/>
      </c>
      <c r="N96" s="18">
        <f>ROUND(M96*(Assumptions!$C$19/Assumptions!$C$8), 2)</f>
        <v/>
      </c>
      <c r="O96" s="18">
        <f>J96+K96-L96-N96</f>
        <v/>
      </c>
      <c r="P96" s="18">
        <f>O96+(Assumptions!$C$9-M96)</f>
        <v/>
      </c>
      <c r="Q96" s="18">
        <f>P96-Assumptions!$C$10</f>
        <v/>
      </c>
      <c r="R96" s="21">
        <f>IF(Q96&lt;Assumptions!$C$12, "ALERT TRIGGERED", "COMPLIANT")</f>
        <v/>
      </c>
    </row>
    <row r="97">
      <c r="A97" s="19">
        <f>Data_Feed_Daily!A97</f>
        <v/>
      </c>
      <c r="B97" s="20">
        <f>IF(ISNUMBER(G96), G96, Assumptions!$C$14)</f>
        <v/>
      </c>
      <c r="C97" s="20">
        <f>Data_Feed_Daily!C97</f>
        <v/>
      </c>
      <c r="D97" s="20">
        <f>Data_Feed_Daily!E97-Data_Feed_Daily!F97</f>
        <v/>
      </c>
      <c r="E97" s="20">
        <f>C97-D97-Data_Feed_Daily!D97</f>
        <v/>
      </c>
      <c r="F97" s="20">
        <f>MAX(0, D97-(B97+C97))</f>
        <v/>
      </c>
      <c r="G97" s="20">
        <f>B97+C97-D97+F97</f>
        <v/>
      </c>
      <c r="H97" s="20">
        <f>IF(ISNUMBER(O96), O96, Assumptions!$C$13)</f>
        <v/>
      </c>
      <c r="I97" s="20">
        <f>Data_Feed_Daily!G97</f>
        <v/>
      </c>
      <c r="J97" s="20">
        <f>H97+I97-F97</f>
        <v/>
      </c>
      <c r="K97" s="20">
        <f>IF(J97&lt;Assumptions!$C$10, MIN(Assumptions!$C$10-J97, Assumptions!$C$9-IF(ISNUMBER(M96), M96, Assumptions!$C$15)), 0)</f>
        <v/>
      </c>
      <c r="L97" s="20">
        <f>IF(AND(J97&gt;Assumptions!$C$11, IF(ISNUMBER(M96), M96, Assumptions!$C$15)&gt;0), MIN(J97-Assumptions!$C$11, IF(ISNUMBER(M96), M96, Assumptions!$C$15)), 0)</f>
        <v/>
      </c>
      <c r="M97" s="20">
        <f>IF(ISNUMBER(M96), M96, Assumptions!$C$15)+K97-L97</f>
        <v/>
      </c>
      <c r="N97" s="20">
        <f>ROUND(M97*(Assumptions!$C$19/Assumptions!$C$8), 2)</f>
        <v/>
      </c>
      <c r="O97" s="20">
        <f>J97+K97-L97-N97</f>
        <v/>
      </c>
      <c r="P97" s="20">
        <f>O97+(Assumptions!$C$9-M97)</f>
        <v/>
      </c>
      <c r="Q97" s="20">
        <f>P97-Assumptions!$C$10</f>
        <v/>
      </c>
      <c r="R97" s="22">
        <f>IF(Q97&lt;Assumptions!$C$12, "ALERT TRIGGERED", "COMPLIANT")</f>
        <v/>
      </c>
    </row>
    <row r="98">
      <c r="A98" s="17">
        <f>Data_Feed_Daily!A98</f>
        <v/>
      </c>
      <c r="B98" s="18">
        <f>IF(ISNUMBER(G97), G97, Assumptions!$C$14)</f>
        <v/>
      </c>
      <c r="C98" s="18">
        <f>Data_Feed_Daily!C98</f>
        <v/>
      </c>
      <c r="D98" s="18">
        <f>Data_Feed_Daily!E98-Data_Feed_Daily!F98</f>
        <v/>
      </c>
      <c r="E98" s="18">
        <f>C98-D98-Data_Feed_Daily!D98</f>
        <v/>
      </c>
      <c r="F98" s="18">
        <f>MAX(0, D98-(B98+C98))</f>
        <v/>
      </c>
      <c r="G98" s="18">
        <f>B98+C98-D98+F98</f>
        <v/>
      </c>
      <c r="H98" s="18">
        <f>IF(ISNUMBER(O97), O97, Assumptions!$C$13)</f>
        <v/>
      </c>
      <c r="I98" s="18">
        <f>Data_Feed_Daily!G98</f>
        <v/>
      </c>
      <c r="J98" s="18">
        <f>H98+I98-F98</f>
        <v/>
      </c>
      <c r="K98" s="18">
        <f>IF(J98&lt;Assumptions!$C$10, MIN(Assumptions!$C$10-J98, Assumptions!$C$9-IF(ISNUMBER(M97), M97, Assumptions!$C$15)), 0)</f>
        <v/>
      </c>
      <c r="L98" s="18">
        <f>IF(AND(J98&gt;Assumptions!$C$11, IF(ISNUMBER(M97), M97, Assumptions!$C$15)&gt;0), MIN(J98-Assumptions!$C$11, IF(ISNUMBER(M97), M97, Assumptions!$C$15)), 0)</f>
        <v/>
      </c>
      <c r="M98" s="18">
        <f>IF(ISNUMBER(M97), M97, Assumptions!$C$15)+K98-L98</f>
        <v/>
      </c>
      <c r="N98" s="18">
        <f>ROUND(M98*(Assumptions!$C$19/Assumptions!$C$8), 2)</f>
        <v/>
      </c>
      <c r="O98" s="18">
        <f>J98+K98-L98-N98</f>
        <v/>
      </c>
      <c r="P98" s="18">
        <f>O98+(Assumptions!$C$9-M98)</f>
        <v/>
      </c>
      <c r="Q98" s="18">
        <f>P98-Assumptions!$C$10</f>
        <v/>
      </c>
      <c r="R98" s="21">
        <f>IF(Q98&lt;Assumptions!$C$12, "ALERT TRIGGERED", "COMPLIANT")</f>
        <v/>
      </c>
    </row>
    <row r="99">
      <c r="A99" s="19">
        <f>Data_Feed_Daily!A99</f>
        <v/>
      </c>
      <c r="B99" s="20">
        <f>IF(ISNUMBER(G98), G98, Assumptions!$C$14)</f>
        <v/>
      </c>
      <c r="C99" s="20">
        <f>Data_Feed_Daily!C99</f>
        <v/>
      </c>
      <c r="D99" s="20">
        <f>Data_Feed_Daily!E99-Data_Feed_Daily!F99</f>
        <v/>
      </c>
      <c r="E99" s="20">
        <f>C99-D99-Data_Feed_Daily!D99</f>
        <v/>
      </c>
      <c r="F99" s="20">
        <f>MAX(0, D99-(B99+C99))</f>
        <v/>
      </c>
      <c r="G99" s="20">
        <f>B99+C99-D99+F99</f>
        <v/>
      </c>
      <c r="H99" s="20">
        <f>IF(ISNUMBER(O98), O98, Assumptions!$C$13)</f>
        <v/>
      </c>
      <c r="I99" s="20">
        <f>Data_Feed_Daily!G99</f>
        <v/>
      </c>
      <c r="J99" s="20">
        <f>H99+I99-F99</f>
        <v/>
      </c>
      <c r="K99" s="20">
        <f>IF(J99&lt;Assumptions!$C$10, MIN(Assumptions!$C$10-J99, Assumptions!$C$9-IF(ISNUMBER(M98), M98, Assumptions!$C$15)), 0)</f>
        <v/>
      </c>
      <c r="L99" s="20">
        <f>IF(AND(J99&gt;Assumptions!$C$11, IF(ISNUMBER(M98), M98, Assumptions!$C$15)&gt;0), MIN(J99-Assumptions!$C$11, IF(ISNUMBER(M98), M98, Assumptions!$C$15)), 0)</f>
        <v/>
      </c>
      <c r="M99" s="20">
        <f>IF(ISNUMBER(M98), M98, Assumptions!$C$15)+K99-L99</f>
        <v/>
      </c>
      <c r="N99" s="20">
        <f>ROUND(M99*(Assumptions!$C$19/Assumptions!$C$8), 2)</f>
        <v/>
      </c>
      <c r="O99" s="20">
        <f>J99+K99-L99-N99</f>
        <v/>
      </c>
      <c r="P99" s="20">
        <f>O99+(Assumptions!$C$9-M99)</f>
        <v/>
      </c>
      <c r="Q99" s="20">
        <f>P99-Assumptions!$C$10</f>
        <v/>
      </c>
      <c r="R99" s="22">
        <f>IF(Q99&lt;Assumptions!$C$12, "ALERT TRIGGERED", "COMPLIANT")</f>
        <v/>
      </c>
    </row>
    <row r="100">
      <c r="A100" s="17">
        <f>Data_Feed_Daily!A100</f>
        <v/>
      </c>
      <c r="B100" s="18">
        <f>IF(ISNUMBER(G99), G99, Assumptions!$C$14)</f>
        <v/>
      </c>
      <c r="C100" s="18">
        <f>Data_Feed_Daily!C100</f>
        <v/>
      </c>
      <c r="D100" s="18">
        <f>Data_Feed_Daily!E100-Data_Feed_Daily!F100</f>
        <v/>
      </c>
      <c r="E100" s="18">
        <f>C100-D100-Data_Feed_Daily!D100</f>
        <v/>
      </c>
      <c r="F100" s="18">
        <f>MAX(0, D100-(B100+C100))</f>
        <v/>
      </c>
      <c r="G100" s="18">
        <f>B100+C100-D100+F100</f>
        <v/>
      </c>
      <c r="H100" s="18">
        <f>IF(ISNUMBER(O99), O99, Assumptions!$C$13)</f>
        <v/>
      </c>
      <c r="I100" s="18">
        <f>Data_Feed_Daily!G100</f>
        <v/>
      </c>
      <c r="J100" s="18">
        <f>H100+I100-F100</f>
        <v/>
      </c>
      <c r="K100" s="18">
        <f>IF(J100&lt;Assumptions!$C$10, MIN(Assumptions!$C$10-J100, Assumptions!$C$9-IF(ISNUMBER(M99), M99, Assumptions!$C$15)), 0)</f>
        <v/>
      </c>
      <c r="L100" s="18">
        <f>IF(AND(J100&gt;Assumptions!$C$11, IF(ISNUMBER(M99), M99, Assumptions!$C$15)&gt;0), MIN(J100-Assumptions!$C$11, IF(ISNUMBER(M99), M99, Assumptions!$C$15)), 0)</f>
        <v/>
      </c>
      <c r="M100" s="18">
        <f>IF(ISNUMBER(M99), M99, Assumptions!$C$15)+K100-L100</f>
        <v/>
      </c>
      <c r="N100" s="18">
        <f>ROUND(M100*(Assumptions!$C$19/Assumptions!$C$8), 2)</f>
        <v/>
      </c>
      <c r="O100" s="18">
        <f>J100+K100-L100-N100</f>
        <v/>
      </c>
      <c r="P100" s="18">
        <f>O100+(Assumptions!$C$9-M100)</f>
        <v/>
      </c>
      <c r="Q100" s="18">
        <f>P100-Assumptions!$C$10</f>
        <v/>
      </c>
      <c r="R100" s="21">
        <f>IF(Q100&lt;Assumptions!$C$12, "ALERT TRIGGERED", "COMPLIANT")</f>
        <v/>
      </c>
    </row>
    <row r="101">
      <c r="A101" s="19">
        <f>Data_Feed_Daily!A101</f>
        <v/>
      </c>
      <c r="B101" s="20">
        <f>IF(ISNUMBER(G100), G100, Assumptions!$C$14)</f>
        <v/>
      </c>
      <c r="C101" s="20">
        <f>Data_Feed_Daily!C101</f>
        <v/>
      </c>
      <c r="D101" s="20">
        <f>Data_Feed_Daily!E101-Data_Feed_Daily!F101</f>
        <v/>
      </c>
      <c r="E101" s="20">
        <f>C101-D101-Data_Feed_Daily!D101</f>
        <v/>
      </c>
      <c r="F101" s="20">
        <f>MAX(0, D101-(B101+C101))</f>
        <v/>
      </c>
      <c r="G101" s="20">
        <f>B101+C101-D101+F101</f>
        <v/>
      </c>
      <c r="H101" s="20">
        <f>IF(ISNUMBER(O100), O100, Assumptions!$C$13)</f>
        <v/>
      </c>
      <c r="I101" s="20">
        <f>Data_Feed_Daily!G101</f>
        <v/>
      </c>
      <c r="J101" s="20">
        <f>H101+I101-F101</f>
        <v/>
      </c>
      <c r="K101" s="20">
        <f>IF(J101&lt;Assumptions!$C$10, MIN(Assumptions!$C$10-J101, Assumptions!$C$9-IF(ISNUMBER(M100), M100, Assumptions!$C$15)), 0)</f>
        <v/>
      </c>
      <c r="L101" s="20">
        <f>IF(AND(J101&gt;Assumptions!$C$11, IF(ISNUMBER(M100), M100, Assumptions!$C$15)&gt;0), MIN(J101-Assumptions!$C$11, IF(ISNUMBER(M100), M100, Assumptions!$C$15)), 0)</f>
        <v/>
      </c>
      <c r="M101" s="20">
        <f>IF(ISNUMBER(M100), M100, Assumptions!$C$15)+K101-L101</f>
        <v/>
      </c>
      <c r="N101" s="20">
        <f>ROUND(M101*(Assumptions!$C$19/Assumptions!$C$8), 2)</f>
        <v/>
      </c>
      <c r="O101" s="20">
        <f>J101+K101-L101-N101</f>
        <v/>
      </c>
      <c r="P101" s="20">
        <f>O101+(Assumptions!$C$9-M101)</f>
        <v/>
      </c>
      <c r="Q101" s="20">
        <f>P101-Assumptions!$C$10</f>
        <v/>
      </c>
      <c r="R101" s="22">
        <f>IF(Q101&lt;Assumptions!$C$12, "ALERT TRIGGERED", "COMPLIANT")</f>
        <v/>
      </c>
    </row>
    <row r="102">
      <c r="A102" s="17">
        <f>Data_Feed_Daily!A102</f>
        <v/>
      </c>
      <c r="B102" s="18">
        <f>IF(ISNUMBER(G101), G101, Assumptions!$C$14)</f>
        <v/>
      </c>
      <c r="C102" s="18">
        <f>Data_Feed_Daily!C102</f>
        <v/>
      </c>
      <c r="D102" s="18">
        <f>Data_Feed_Daily!E102-Data_Feed_Daily!F102</f>
        <v/>
      </c>
      <c r="E102" s="18">
        <f>C102-D102-Data_Feed_Daily!D102</f>
        <v/>
      </c>
      <c r="F102" s="18">
        <f>MAX(0, D102-(B102+C102))</f>
        <v/>
      </c>
      <c r="G102" s="18">
        <f>B102+C102-D102+F102</f>
        <v/>
      </c>
      <c r="H102" s="18">
        <f>IF(ISNUMBER(O101), O101, Assumptions!$C$13)</f>
        <v/>
      </c>
      <c r="I102" s="18">
        <f>Data_Feed_Daily!G102</f>
        <v/>
      </c>
      <c r="J102" s="18">
        <f>H102+I102-F102</f>
        <v/>
      </c>
      <c r="K102" s="18">
        <f>IF(J102&lt;Assumptions!$C$10, MIN(Assumptions!$C$10-J102, Assumptions!$C$9-IF(ISNUMBER(M101), M101, Assumptions!$C$15)), 0)</f>
        <v/>
      </c>
      <c r="L102" s="18">
        <f>IF(AND(J102&gt;Assumptions!$C$11, IF(ISNUMBER(M101), M101, Assumptions!$C$15)&gt;0), MIN(J102-Assumptions!$C$11, IF(ISNUMBER(M101), M101, Assumptions!$C$15)), 0)</f>
        <v/>
      </c>
      <c r="M102" s="18">
        <f>IF(ISNUMBER(M101), M101, Assumptions!$C$15)+K102-L102</f>
        <v/>
      </c>
      <c r="N102" s="18">
        <f>ROUND(M102*(Assumptions!$C$19/Assumptions!$C$8), 2)</f>
        <v/>
      </c>
      <c r="O102" s="18">
        <f>J102+K102-L102-N102</f>
        <v/>
      </c>
      <c r="P102" s="18">
        <f>O102+(Assumptions!$C$9-M102)</f>
        <v/>
      </c>
      <c r="Q102" s="18">
        <f>P102-Assumptions!$C$10</f>
        <v/>
      </c>
      <c r="R102" s="21">
        <f>IF(Q102&lt;Assumptions!$C$12, "ALERT TRIGGERED", "COMPLIANT")</f>
        <v/>
      </c>
    </row>
    <row r="103">
      <c r="A103" s="19">
        <f>Data_Feed_Daily!A103</f>
        <v/>
      </c>
      <c r="B103" s="20">
        <f>IF(ISNUMBER(G102), G102, Assumptions!$C$14)</f>
        <v/>
      </c>
      <c r="C103" s="20">
        <f>Data_Feed_Daily!C103</f>
        <v/>
      </c>
      <c r="D103" s="20">
        <f>Data_Feed_Daily!E103-Data_Feed_Daily!F103</f>
        <v/>
      </c>
      <c r="E103" s="20">
        <f>C103-D103-Data_Feed_Daily!D103</f>
        <v/>
      </c>
      <c r="F103" s="20">
        <f>MAX(0, D103-(B103+C103))</f>
        <v/>
      </c>
      <c r="G103" s="20">
        <f>B103+C103-D103+F103</f>
        <v/>
      </c>
      <c r="H103" s="20">
        <f>IF(ISNUMBER(O102), O102, Assumptions!$C$13)</f>
        <v/>
      </c>
      <c r="I103" s="20">
        <f>Data_Feed_Daily!G103</f>
        <v/>
      </c>
      <c r="J103" s="20">
        <f>H103+I103-F103</f>
        <v/>
      </c>
      <c r="K103" s="20">
        <f>IF(J103&lt;Assumptions!$C$10, MIN(Assumptions!$C$10-J103, Assumptions!$C$9-IF(ISNUMBER(M102), M102, Assumptions!$C$15)), 0)</f>
        <v/>
      </c>
      <c r="L103" s="20">
        <f>IF(AND(J103&gt;Assumptions!$C$11, IF(ISNUMBER(M102), M102, Assumptions!$C$15)&gt;0), MIN(J103-Assumptions!$C$11, IF(ISNUMBER(M102), M102, Assumptions!$C$15)), 0)</f>
        <v/>
      </c>
      <c r="M103" s="20">
        <f>IF(ISNUMBER(M102), M102, Assumptions!$C$15)+K103-L103</f>
        <v/>
      </c>
      <c r="N103" s="20">
        <f>ROUND(M103*(Assumptions!$C$19/Assumptions!$C$8), 2)</f>
        <v/>
      </c>
      <c r="O103" s="20">
        <f>J103+K103-L103-N103</f>
        <v/>
      </c>
      <c r="P103" s="20">
        <f>O103+(Assumptions!$C$9-M103)</f>
        <v/>
      </c>
      <c r="Q103" s="20">
        <f>P103-Assumptions!$C$10</f>
        <v/>
      </c>
      <c r="R103" s="22">
        <f>IF(Q103&lt;Assumptions!$C$12, "ALERT TRIGGERED", "COMPLIANT")</f>
        <v/>
      </c>
    </row>
    <row r="104">
      <c r="A104" s="17">
        <f>Data_Feed_Daily!A104</f>
        <v/>
      </c>
      <c r="B104" s="18">
        <f>IF(ISNUMBER(G103), G103, Assumptions!$C$14)</f>
        <v/>
      </c>
      <c r="C104" s="18">
        <f>Data_Feed_Daily!C104</f>
        <v/>
      </c>
      <c r="D104" s="18">
        <f>Data_Feed_Daily!E104-Data_Feed_Daily!F104</f>
        <v/>
      </c>
      <c r="E104" s="18">
        <f>C104-D104-Data_Feed_Daily!D104</f>
        <v/>
      </c>
      <c r="F104" s="18">
        <f>MAX(0, D104-(B104+C104))</f>
        <v/>
      </c>
      <c r="G104" s="18">
        <f>B104+C104-D104+F104</f>
        <v/>
      </c>
      <c r="H104" s="18">
        <f>IF(ISNUMBER(O103), O103, Assumptions!$C$13)</f>
        <v/>
      </c>
      <c r="I104" s="18">
        <f>Data_Feed_Daily!G104</f>
        <v/>
      </c>
      <c r="J104" s="18">
        <f>H104+I104-F104</f>
        <v/>
      </c>
      <c r="K104" s="18">
        <f>IF(J104&lt;Assumptions!$C$10, MIN(Assumptions!$C$10-J104, Assumptions!$C$9-IF(ISNUMBER(M103), M103, Assumptions!$C$15)), 0)</f>
        <v/>
      </c>
      <c r="L104" s="18">
        <f>IF(AND(J104&gt;Assumptions!$C$11, IF(ISNUMBER(M103), M103, Assumptions!$C$15)&gt;0), MIN(J104-Assumptions!$C$11, IF(ISNUMBER(M103), M103, Assumptions!$C$15)), 0)</f>
        <v/>
      </c>
      <c r="M104" s="18">
        <f>IF(ISNUMBER(M103), M103, Assumptions!$C$15)+K104-L104</f>
        <v/>
      </c>
      <c r="N104" s="18">
        <f>ROUND(M104*(Assumptions!$C$19/Assumptions!$C$8), 2)</f>
        <v/>
      </c>
      <c r="O104" s="18">
        <f>J104+K104-L104-N104</f>
        <v/>
      </c>
      <c r="P104" s="18">
        <f>O104+(Assumptions!$C$9-M104)</f>
        <v/>
      </c>
      <c r="Q104" s="18">
        <f>P104-Assumptions!$C$10</f>
        <v/>
      </c>
      <c r="R104" s="21">
        <f>IF(Q104&lt;Assumptions!$C$12, "ALERT TRIGGERED", "COMPLIANT")</f>
        <v/>
      </c>
    </row>
    <row r="105">
      <c r="A105" s="19">
        <f>Data_Feed_Daily!A105</f>
        <v/>
      </c>
      <c r="B105" s="20">
        <f>IF(ISNUMBER(G104), G104, Assumptions!$C$14)</f>
        <v/>
      </c>
      <c r="C105" s="20">
        <f>Data_Feed_Daily!C105</f>
        <v/>
      </c>
      <c r="D105" s="20">
        <f>Data_Feed_Daily!E105-Data_Feed_Daily!F105</f>
        <v/>
      </c>
      <c r="E105" s="20">
        <f>C105-D105-Data_Feed_Daily!D105</f>
        <v/>
      </c>
      <c r="F105" s="20">
        <f>MAX(0, D105-(B105+C105))</f>
        <v/>
      </c>
      <c r="G105" s="20">
        <f>B105+C105-D105+F105</f>
        <v/>
      </c>
      <c r="H105" s="20">
        <f>IF(ISNUMBER(O104), O104, Assumptions!$C$13)</f>
        <v/>
      </c>
      <c r="I105" s="20">
        <f>Data_Feed_Daily!G105</f>
        <v/>
      </c>
      <c r="J105" s="20">
        <f>H105+I105-F105</f>
        <v/>
      </c>
      <c r="K105" s="20">
        <f>IF(J105&lt;Assumptions!$C$10, MIN(Assumptions!$C$10-J105, Assumptions!$C$9-IF(ISNUMBER(M104), M104, Assumptions!$C$15)), 0)</f>
        <v/>
      </c>
      <c r="L105" s="20">
        <f>IF(AND(J105&gt;Assumptions!$C$11, IF(ISNUMBER(M104), M104, Assumptions!$C$15)&gt;0), MIN(J105-Assumptions!$C$11, IF(ISNUMBER(M104), M104, Assumptions!$C$15)), 0)</f>
        <v/>
      </c>
      <c r="M105" s="20">
        <f>IF(ISNUMBER(M104), M104, Assumptions!$C$15)+K105-L105</f>
        <v/>
      </c>
      <c r="N105" s="20">
        <f>ROUND(M105*(Assumptions!$C$19/Assumptions!$C$8), 2)</f>
        <v/>
      </c>
      <c r="O105" s="20">
        <f>J105+K105-L105-N105</f>
        <v/>
      </c>
      <c r="P105" s="20">
        <f>O105+(Assumptions!$C$9-M105)</f>
        <v/>
      </c>
      <c r="Q105" s="20">
        <f>P105-Assumptions!$C$10</f>
        <v/>
      </c>
      <c r="R105" s="22">
        <f>IF(Q105&lt;Assumptions!$C$12, "ALERT TRIGGERED", "COMPLIANT")</f>
        <v/>
      </c>
    </row>
    <row r="106">
      <c r="A106" s="17">
        <f>Data_Feed_Daily!A106</f>
        <v/>
      </c>
      <c r="B106" s="18">
        <f>IF(ISNUMBER(G105), G105, Assumptions!$C$14)</f>
        <v/>
      </c>
      <c r="C106" s="18">
        <f>Data_Feed_Daily!C106</f>
        <v/>
      </c>
      <c r="D106" s="18">
        <f>Data_Feed_Daily!E106-Data_Feed_Daily!F106</f>
        <v/>
      </c>
      <c r="E106" s="18">
        <f>C106-D106-Data_Feed_Daily!D106</f>
        <v/>
      </c>
      <c r="F106" s="18">
        <f>MAX(0, D106-(B106+C106))</f>
        <v/>
      </c>
      <c r="G106" s="18">
        <f>B106+C106-D106+F106</f>
        <v/>
      </c>
      <c r="H106" s="18">
        <f>IF(ISNUMBER(O105), O105, Assumptions!$C$13)</f>
        <v/>
      </c>
      <c r="I106" s="18">
        <f>Data_Feed_Daily!G106</f>
        <v/>
      </c>
      <c r="J106" s="18">
        <f>H106+I106-F106</f>
        <v/>
      </c>
      <c r="K106" s="18">
        <f>IF(J106&lt;Assumptions!$C$10, MIN(Assumptions!$C$10-J106, Assumptions!$C$9-IF(ISNUMBER(M105), M105, Assumptions!$C$15)), 0)</f>
        <v/>
      </c>
      <c r="L106" s="18">
        <f>IF(AND(J106&gt;Assumptions!$C$11, IF(ISNUMBER(M105), M105, Assumptions!$C$15)&gt;0), MIN(J106-Assumptions!$C$11, IF(ISNUMBER(M105), M105, Assumptions!$C$15)), 0)</f>
        <v/>
      </c>
      <c r="M106" s="18">
        <f>IF(ISNUMBER(M105), M105, Assumptions!$C$15)+K106-L106</f>
        <v/>
      </c>
      <c r="N106" s="18">
        <f>ROUND(M106*(Assumptions!$C$19/Assumptions!$C$8), 2)</f>
        <v/>
      </c>
      <c r="O106" s="18">
        <f>J106+K106-L106-N106</f>
        <v/>
      </c>
      <c r="P106" s="18">
        <f>O106+(Assumptions!$C$9-M106)</f>
        <v/>
      </c>
      <c r="Q106" s="18">
        <f>P106-Assumptions!$C$10</f>
        <v/>
      </c>
      <c r="R106" s="21">
        <f>IF(Q106&lt;Assumptions!$C$12, "ALERT TRIGGERED", "COMPLIANT")</f>
        <v/>
      </c>
    </row>
    <row r="107">
      <c r="A107" s="19">
        <f>Data_Feed_Daily!A107</f>
        <v/>
      </c>
      <c r="B107" s="20">
        <f>IF(ISNUMBER(G106), G106, Assumptions!$C$14)</f>
        <v/>
      </c>
      <c r="C107" s="20">
        <f>Data_Feed_Daily!C107</f>
        <v/>
      </c>
      <c r="D107" s="20">
        <f>Data_Feed_Daily!E107-Data_Feed_Daily!F107</f>
        <v/>
      </c>
      <c r="E107" s="20">
        <f>C107-D107-Data_Feed_Daily!D107</f>
        <v/>
      </c>
      <c r="F107" s="20">
        <f>MAX(0, D107-(B107+C107))</f>
        <v/>
      </c>
      <c r="G107" s="20">
        <f>B107+C107-D107+F107</f>
        <v/>
      </c>
      <c r="H107" s="20">
        <f>IF(ISNUMBER(O106), O106, Assumptions!$C$13)</f>
        <v/>
      </c>
      <c r="I107" s="20">
        <f>Data_Feed_Daily!G107</f>
        <v/>
      </c>
      <c r="J107" s="20">
        <f>H107+I107-F107</f>
        <v/>
      </c>
      <c r="K107" s="20">
        <f>IF(J107&lt;Assumptions!$C$10, MIN(Assumptions!$C$10-J107, Assumptions!$C$9-IF(ISNUMBER(M106), M106, Assumptions!$C$15)), 0)</f>
        <v/>
      </c>
      <c r="L107" s="20">
        <f>IF(AND(J107&gt;Assumptions!$C$11, IF(ISNUMBER(M106), M106, Assumptions!$C$15)&gt;0), MIN(J107-Assumptions!$C$11, IF(ISNUMBER(M106), M106, Assumptions!$C$15)), 0)</f>
        <v/>
      </c>
      <c r="M107" s="20">
        <f>IF(ISNUMBER(M106), M106, Assumptions!$C$15)+K107-L107</f>
        <v/>
      </c>
      <c r="N107" s="20">
        <f>ROUND(M107*(Assumptions!$C$19/Assumptions!$C$8), 2)</f>
        <v/>
      </c>
      <c r="O107" s="20">
        <f>J107+K107-L107-N107</f>
        <v/>
      </c>
      <c r="P107" s="20">
        <f>O107+(Assumptions!$C$9-M107)</f>
        <v/>
      </c>
      <c r="Q107" s="20">
        <f>P107-Assumptions!$C$10</f>
        <v/>
      </c>
      <c r="R107" s="22">
        <f>IF(Q107&lt;Assumptions!$C$12, "ALERT TRIGGERED", "COMPLIANT")</f>
        <v/>
      </c>
    </row>
    <row r="108">
      <c r="A108" s="17">
        <f>Data_Feed_Daily!A108</f>
        <v/>
      </c>
      <c r="B108" s="18">
        <f>IF(ISNUMBER(G107), G107, Assumptions!$C$14)</f>
        <v/>
      </c>
      <c r="C108" s="18">
        <f>Data_Feed_Daily!C108</f>
        <v/>
      </c>
      <c r="D108" s="18">
        <f>Data_Feed_Daily!E108-Data_Feed_Daily!F108</f>
        <v/>
      </c>
      <c r="E108" s="18">
        <f>C108-D108-Data_Feed_Daily!D108</f>
        <v/>
      </c>
      <c r="F108" s="18">
        <f>MAX(0, D108-(B108+C108))</f>
        <v/>
      </c>
      <c r="G108" s="18">
        <f>B108+C108-D108+F108</f>
        <v/>
      </c>
      <c r="H108" s="18">
        <f>IF(ISNUMBER(O107), O107, Assumptions!$C$13)</f>
        <v/>
      </c>
      <c r="I108" s="18">
        <f>Data_Feed_Daily!G108</f>
        <v/>
      </c>
      <c r="J108" s="18">
        <f>H108+I108-F108</f>
        <v/>
      </c>
      <c r="K108" s="18">
        <f>IF(J108&lt;Assumptions!$C$10, MIN(Assumptions!$C$10-J108, Assumptions!$C$9-IF(ISNUMBER(M107), M107, Assumptions!$C$15)), 0)</f>
        <v/>
      </c>
      <c r="L108" s="18">
        <f>IF(AND(J108&gt;Assumptions!$C$11, IF(ISNUMBER(M107), M107, Assumptions!$C$15)&gt;0), MIN(J108-Assumptions!$C$11, IF(ISNUMBER(M107), M107, Assumptions!$C$15)), 0)</f>
        <v/>
      </c>
      <c r="M108" s="18">
        <f>IF(ISNUMBER(M107), M107, Assumptions!$C$15)+K108-L108</f>
        <v/>
      </c>
      <c r="N108" s="18">
        <f>ROUND(M108*(Assumptions!$C$19/Assumptions!$C$8), 2)</f>
        <v/>
      </c>
      <c r="O108" s="18">
        <f>J108+K108-L108-N108</f>
        <v/>
      </c>
      <c r="P108" s="18">
        <f>O108+(Assumptions!$C$9-M108)</f>
        <v/>
      </c>
      <c r="Q108" s="18">
        <f>P108-Assumptions!$C$10</f>
        <v/>
      </c>
      <c r="R108" s="21">
        <f>IF(Q108&lt;Assumptions!$C$12, "ALERT TRIGGERED", "COMPLIANT")</f>
        <v/>
      </c>
    </row>
    <row r="109">
      <c r="A109" s="19">
        <f>Data_Feed_Daily!A109</f>
        <v/>
      </c>
      <c r="B109" s="20">
        <f>IF(ISNUMBER(G108), G108, Assumptions!$C$14)</f>
        <v/>
      </c>
      <c r="C109" s="20">
        <f>Data_Feed_Daily!C109</f>
        <v/>
      </c>
      <c r="D109" s="20">
        <f>Data_Feed_Daily!E109-Data_Feed_Daily!F109</f>
        <v/>
      </c>
      <c r="E109" s="20">
        <f>C109-D109-Data_Feed_Daily!D109</f>
        <v/>
      </c>
      <c r="F109" s="20">
        <f>MAX(0, D109-(B109+C109))</f>
        <v/>
      </c>
      <c r="G109" s="20">
        <f>B109+C109-D109+F109</f>
        <v/>
      </c>
      <c r="H109" s="20">
        <f>IF(ISNUMBER(O108), O108, Assumptions!$C$13)</f>
        <v/>
      </c>
      <c r="I109" s="20">
        <f>Data_Feed_Daily!G109</f>
        <v/>
      </c>
      <c r="J109" s="20">
        <f>H109+I109-F109</f>
        <v/>
      </c>
      <c r="K109" s="20">
        <f>IF(J109&lt;Assumptions!$C$10, MIN(Assumptions!$C$10-J109, Assumptions!$C$9-IF(ISNUMBER(M108), M108, Assumptions!$C$15)), 0)</f>
        <v/>
      </c>
      <c r="L109" s="20">
        <f>IF(AND(J109&gt;Assumptions!$C$11, IF(ISNUMBER(M108), M108, Assumptions!$C$15)&gt;0), MIN(J109-Assumptions!$C$11, IF(ISNUMBER(M108), M108, Assumptions!$C$15)), 0)</f>
        <v/>
      </c>
      <c r="M109" s="20">
        <f>IF(ISNUMBER(M108), M108, Assumptions!$C$15)+K109-L109</f>
        <v/>
      </c>
      <c r="N109" s="20">
        <f>ROUND(M109*(Assumptions!$C$19/Assumptions!$C$8), 2)</f>
        <v/>
      </c>
      <c r="O109" s="20">
        <f>J109+K109-L109-N109</f>
        <v/>
      </c>
      <c r="P109" s="20">
        <f>O109+(Assumptions!$C$9-M109)</f>
        <v/>
      </c>
      <c r="Q109" s="20">
        <f>P109-Assumptions!$C$10</f>
        <v/>
      </c>
      <c r="R109" s="22">
        <f>IF(Q109&lt;Assumptions!$C$12, "ALERT TRIGGERED", "COMPLIANT")</f>
        <v/>
      </c>
    </row>
    <row r="110">
      <c r="A110" s="17">
        <f>Data_Feed_Daily!A110</f>
        <v/>
      </c>
      <c r="B110" s="18">
        <f>IF(ISNUMBER(G109), G109, Assumptions!$C$14)</f>
        <v/>
      </c>
      <c r="C110" s="18">
        <f>Data_Feed_Daily!C110</f>
        <v/>
      </c>
      <c r="D110" s="18">
        <f>Data_Feed_Daily!E110-Data_Feed_Daily!F110</f>
        <v/>
      </c>
      <c r="E110" s="18">
        <f>C110-D110-Data_Feed_Daily!D110</f>
        <v/>
      </c>
      <c r="F110" s="18">
        <f>MAX(0, D110-(B110+C110))</f>
        <v/>
      </c>
      <c r="G110" s="18">
        <f>B110+C110-D110+F110</f>
        <v/>
      </c>
      <c r="H110" s="18">
        <f>IF(ISNUMBER(O109), O109, Assumptions!$C$13)</f>
        <v/>
      </c>
      <c r="I110" s="18">
        <f>Data_Feed_Daily!G110</f>
        <v/>
      </c>
      <c r="J110" s="18">
        <f>H110+I110-F110</f>
        <v/>
      </c>
      <c r="K110" s="18">
        <f>IF(J110&lt;Assumptions!$C$10, MIN(Assumptions!$C$10-J110, Assumptions!$C$9-IF(ISNUMBER(M109), M109, Assumptions!$C$15)), 0)</f>
        <v/>
      </c>
      <c r="L110" s="18">
        <f>IF(AND(J110&gt;Assumptions!$C$11, IF(ISNUMBER(M109), M109, Assumptions!$C$15)&gt;0), MIN(J110-Assumptions!$C$11, IF(ISNUMBER(M109), M109, Assumptions!$C$15)), 0)</f>
        <v/>
      </c>
      <c r="M110" s="18">
        <f>IF(ISNUMBER(M109), M109, Assumptions!$C$15)+K110-L110</f>
        <v/>
      </c>
      <c r="N110" s="18">
        <f>ROUND(M110*(Assumptions!$C$19/Assumptions!$C$8), 2)</f>
        <v/>
      </c>
      <c r="O110" s="18">
        <f>J110+K110-L110-N110</f>
        <v/>
      </c>
      <c r="P110" s="18">
        <f>O110+(Assumptions!$C$9-M110)</f>
        <v/>
      </c>
      <c r="Q110" s="18">
        <f>P110-Assumptions!$C$10</f>
        <v/>
      </c>
      <c r="R110" s="21">
        <f>IF(Q110&lt;Assumptions!$C$12, "ALERT TRIGGERED", "COMPLIANT")</f>
        <v/>
      </c>
    </row>
    <row r="111">
      <c r="A111" s="19">
        <f>Data_Feed_Daily!A111</f>
        <v/>
      </c>
      <c r="B111" s="20">
        <f>IF(ISNUMBER(G110), G110, Assumptions!$C$14)</f>
        <v/>
      </c>
      <c r="C111" s="20">
        <f>Data_Feed_Daily!C111</f>
        <v/>
      </c>
      <c r="D111" s="20">
        <f>Data_Feed_Daily!E111-Data_Feed_Daily!F111</f>
        <v/>
      </c>
      <c r="E111" s="20">
        <f>C111-D111-Data_Feed_Daily!D111</f>
        <v/>
      </c>
      <c r="F111" s="20">
        <f>MAX(0, D111-(B111+C111))</f>
        <v/>
      </c>
      <c r="G111" s="20">
        <f>B111+C111-D111+F111</f>
        <v/>
      </c>
      <c r="H111" s="20">
        <f>IF(ISNUMBER(O110), O110, Assumptions!$C$13)</f>
        <v/>
      </c>
      <c r="I111" s="20">
        <f>Data_Feed_Daily!G111</f>
        <v/>
      </c>
      <c r="J111" s="20">
        <f>H111+I111-F111</f>
        <v/>
      </c>
      <c r="K111" s="20">
        <f>IF(J111&lt;Assumptions!$C$10, MIN(Assumptions!$C$10-J111, Assumptions!$C$9-IF(ISNUMBER(M110), M110, Assumptions!$C$15)), 0)</f>
        <v/>
      </c>
      <c r="L111" s="20">
        <f>IF(AND(J111&gt;Assumptions!$C$11, IF(ISNUMBER(M110), M110, Assumptions!$C$15)&gt;0), MIN(J111-Assumptions!$C$11, IF(ISNUMBER(M110), M110, Assumptions!$C$15)), 0)</f>
        <v/>
      </c>
      <c r="M111" s="20">
        <f>IF(ISNUMBER(M110), M110, Assumptions!$C$15)+K111-L111</f>
        <v/>
      </c>
      <c r="N111" s="20">
        <f>ROUND(M111*(Assumptions!$C$19/Assumptions!$C$8), 2)</f>
        <v/>
      </c>
      <c r="O111" s="20">
        <f>J111+K111-L111-N111</f>
        <v/>
      </c>
      <c r="P111" s="20">
        <f>O111+(Assumptions!$C$9-M111)</f>
        <v/>
      </c>
      <c r="Q111" s="20">
        <f>P111-Assumptions!$C$10</f>
        <v/>
      </c>
      <c r="R111" s="22">
        <f>IF(Q111&lt;Assumptions!$C$12, "ALERT TRIGGERED", "COMPLIANT")</f>
        <v/>
      </c>
    </row>
    <row r="112">
      <c r="A112" s="17">
        <f>Data_Feed_Daily!A112</f>
        <v/>
      </c>
      <c r="B112" s="18">
        <f>IF(ISNUMBER(G111), G111, Assumptions!$C$14)</f>
        <v/>
      </c>
      <c r="C112" s="18">
        <f>Data_Feed_Daily!C112</f>
        <v/>
      </c>
      <c r="D112" s="18">
        <f>Data_Feed_Daily!E112-Data_Feed_Daily!F112</f>
        <v/>
      </c>
      <c r="E112" s="18">
        <f>C112-D112-Data_Feed_Daily!D112</f>
        <v/>
      </c>
      <c r="F112" s="18">
        <f>MAX(0, D112-(B112+C112))</f>
        <v/>
      </c>
      <c r="G112" s="18">
        <f>B112+C112-D112+F112</f>
        <v/>
      </c>
      <c r="H112" s="18">
        <f>IF(ISNUMBER(O111), O111, Assumptions!$C$13)</f>
        <v/>
      </c>
      <c r="I112" s="18">
        <f>Data_Feed_Daily!G112</f>
        <v/>
      </c>
      <c r="J112" s="18">
        <f>H112+I112-F112</f>
        <v/>
      </c>
      <c r="K112" s="18">
        <f>IF(J112&lt;Assumptions!$C$10, MIN(Assumptions!$C$10-J112, Assumptions!$C$9-IF(ISNUMBER(M111), M111, Assumptions!$C$15)), 0)</f>
        <v/>
      </c>
      <c r="L112" s="18">
        <f>IF(AND(J112&gt;Assumptions!$C$11, IF(ISNUMBER(M111), M111, Assumptions!$C$15)&gt;0), MIN(J112-Assumptions!$C$11, IF(ISNUMBER(M111), M111, Assumptions!$C$15)), 0)</f>
        <v/>
      </c>
      <c r="M112" s="18">
        <f>IF(ISNUMBER(M111), M111, Assumptions!$C$15)+K112-L112</f>
        <v/>
      </c>
      <c r="N112" s="18">
        <f>ROUND(M112*(Assumptions!$C$19/Assumptions!$C$8), 2)</f>
        <v/>
      </c>
      <c r="O112" s="18">
        <f>J112+K112-L112-N112</f>
        <v/>
      </c>
      <c r="P112" s="18">
        <f>O112+(Assumptions!$C$9-M112)</f>
        <v/>
      </c>
      <c r="Q112" s="18">
        <f>P112-Assumptions!$C$10</f>
        <v/>
      </c>
      <c r="R112" s="21">
        <f>IF(Q112&lt;Assumptions!$C$12, "ALERT TRIGGERED", "COMPLIANT")</f>
        <v/>
      </c>
    </row>
    <row r="113">
      <c r="A113" s="19">
        <f>Data_Feed_Daily!A113</f>
        <v/>
      </c>
      <c r="B113" s="20">
        <f>IF(ISNUMBER(G112), G112, Assumptions!$C$14)</f>
        <v/>
      </c>
      <c r="C113" s="20">
        <f>Data_Feed_Daily!C113</f>
        <v/>
      </c>
      <c r="D113" s="20">
        <f>Data_Feed_Daily!E113-Data_Feed_Daily!F113</f>
        <v/>
      </c>
      <c r="E113" s="20">
        <f>C113-D113-Data_Feed_Daily!D113</f>
        <v/>
      </c>
      <c r="F113" s="20">
        <f>MAX(0, D113-(B113+C113))</f>
        <v/>
      </c>
      <c r="G113" s="20">
        <f>B113+C113-D113+F113</f>
        <v/>
      </c>
      <c r="H113" s="20">
        <f>IF(ISNUMBER(O112), O112, Assumptions!$C$13)</f>
        <v/>
      </c>
      <c r="I113" s="20">
        <f>Data_Feed_Daily!G113</f>
        <v/>
      </c>
      <c r="J113" s="20">
        <f>H113+I113-F113</f>
        <v/>
      </c>
      <c r="K113" s="20">
        <f>IF(J113&lt;Assumptions!$C$10, MIN(Assumptions!$C$10-J113, Assumptions!$C$9-IF(ISNUMBER(M112), M112, Assumptions!$C$15)), 0)</f>
        <v/>
      </c>
      <c r="L113" s="20">
        <f>IF(AND(J113&gt;Assumptions!$C$11, IF(ISNUMBER(M112), M112, Assumptions!$C$15)&gt;0), MIN(J113-Assumptions!$C$11, IF(ISNUMBER(M112), M112, Assumptions!$C$15)), 0)</f>
        <v/>
      </c>
      <c r="M113" s="20">
        <f>IF(ISNUMBER(M112), M112, Assumptions!$C$15)+K113-L113</f>
        <v/>
      </c>
      <c r="N113" s="20">
        <f>ROUND(M113*(Assumptions!$C$19/Assumptions!$C$8), 2)</f>
        <v/>
      </c>
      <c r="O113" s="20">
        <f>J113+K113-L113-N113</f>
        <v/>
      </c>
      <c r="P113" s="20">
        <f>O113+(Assumptions!$C$9-M113)</f>
        <v/>
      </c>
      <c r="Q113" s="20">
        <f>P113-Assumptions!$C$10</f>
        <v/>
      </c>
      <c r="R113" s="22">
        <f>IF(Q113&lt;Assumptions!$C$12, "ALERT TRIGGERED", "COMPLIANT")</f>
        <v/>
      </c>
    </row>
    <row r="114">
      <c r="A114" s="17">
        <f>Data_Feed_Daily!A114</f>
        <v/>
      </c>
      <c r="B114" s="18">
        <f>IF(ISNUMBER(G113), G113, Assumptions!$C$14)</f>
        <v/>
      </c>
      <c r="C114" s="18">
        <f>Data_Feed_Daily!C114</f>
        <v/>
      </c>
      <c r="D114" s="18">
        <f>Data_Feed_Daily!E114-Data_Feed_Daily!F114</f>
        <v/>
      </c>
      <c r="E114" s="18">
        <f>C114-D114-Data_Feed_Daily!D114</f>
        <v/>
      </c>
      <c r="F114" s="18">
        <f>MAX(0, D114-(B114+C114))</f>
        <v/>
      </c>
      <c r="G114" s="18">
        <f>B114+C114-D114+F114</f>
        <v/>
      </c>
      <c r="H114" s="18">
        <f>IF(ISNUMBER(O113), O113, Assumptions!$C$13)</f>
        <v/>
      </c>
      <c r="I114" s="18">
        <f>Data_Feed_Daily!G114</f>
        <v/>
      </c>
      <c r="J114" s="18">
        <f>H114+I114-F114</f>
        <v/>
      </c>
      <c r="K114" s="18">
        <f>IF(J114&lt;Assumptions!$C$10, MIN(Assumptions!$C$10-J114, Assumptions!$C$9-IF(ISNUMBER(M113), M113, Assumptions!$C$15)), 0)</f>
        <v/>
      </c>
      <c r="L114" s="18">
        <f>IF(AND(J114&gt;Assumptions!$C$11, IF(ISNUMBER(M113), M113, Assumptions!$C$15)&gt;0), MIN(J114-Assumptions!$C$11, IF(ISNUMBER(M113), M113, Assumptions!$C$15)), 0)</f>
        <v/>
      </c>
      <c r="M114" s="18">
        <f>IF(ISNUMBER(M113), M113, Assumptions!$C$15)+K114-L114</f>
        <v/>
      </c>
      <c r="N114" s="18">
        <f>ROUND(M114*(Assumptions!$C$19/Assumptions!$C$8), 2)</f>
        <v/>
      </c>
      <c r="O114" s="18">
        <f>J114+K114-L114-N114</f>
        <v/>
      </c>
      <c r="P114" s="18">
        <f>O114+(Assumptions!$C$9-M114)</f>
        <v/>
      </c>
      <c r="Q114" s="18">
        <f>P114-Assumptions!$C$10</f>
        <v/>
      </c>
      <c r="R114" s="21">
        <f>IF(Q114&lt;Assumptions!$C$12, "ALERT TRIGGERED", "COMPLIANT")</f>
        <v/>
      </c>
    </row>
    <row r="115">
      <c r="A115" s="19">
        <f>Data_Feed_Daily!A115</f>
        <v/>
      </c>
      <c r="B115" s="20">
        <f>IF(ISNUMBER(G114), G114, Assumptions!$C$14)</f>
        <v/>
      </c>
      <c r="C115" s="20">
        <f>Data_Feed_Daily!C115</f>
        <v/>
      </c>
      <c r="D115" s="20">
        <f>Data_Feed_Daily!E115-Data_Feed_Daily!F115</f>
        <v/>
      </c>
      <c r="E115" s="20">
        <f>C115-D115-Data_Feed_Daily!D115</f>
        <v/>
      </c>
      <c r="F115" s="20">
        <f>MAX(0, D115-(B115+C115))</f>
        <v/>
      </c>
      <c r="G115" s="20">
        <f>B115+C115-D115+F115</f>
        <v/>
      </c>
      <c r="H115" s="20">
        <f>IF(ISNUMBER(O114), O114, Assumptions!$C$13)</f>
        <v/>
      </c>
      <c r="I115" s="20">
        <f>Data_Feed_Daily!G115</f>
        <v/>
      </c>
      <c r="J115" s="20">
        <f>H115+I115-F115</f>
        <v/>
      </c>
      <c r="K115" s="20">
        <f>IF(J115&lt;Assumptions!$C$10, MIN(Assumptions!$C$10-J115, Assumptions!$C$9-IF(ISNUMBER(M114), M114, Assumptions!$C$15)), 0)</f>
        <v/>
      </c>
      <c r="L115" s="20">
        <f>IF(AND(J115&gt;Assumptions!$C$11, IF(ISNUMBER(M114), M114, Assumptions!$C$15)&gt;0), MIN(J115-Assumptions!$C$11, IF(ISNUMBER(M114), M114, Assumptions!$C$15)), 0)</f>
        <v/>
      </c>
      <c r="M115" s="20">
        <f>IF(ISNUMBER(M114), M114, Assumptions!$C$15)+K115-L115</f>
        <v/>
      </c>
      <c r="N115" s="20">
        <f>ROUND(M115*(Assumptions!$C$19/Assumptions!$C$8), 2)</f>
        <v/>
      </c>
      <c r="O115" s="20">
        <f>J115+K115-L115-N115</f>
        <v/>
      </c>
      <c r="P115" s="20">
        <f>O115+(Assumptions!$C$9-M115)</f>
        <v/>
      </c>
      <c r="Q115" s="20">
        <f>P115-Assumptions!$C$10</f>
        <v/>
      </c>
      <c r="R115" s="22">
        <f>IF(Q115&lt;Assumptions!$C$12, "ALERT TRIGGERED", "COMPLIANT")</f>
        <v/>
      </c>
    </row>
    <row r="116">
      <c r="A116" s="17">
        <f>Data_Feed_Daily!A116</f>
        <v/>
      </c>
      <c r="B116" s="18">
        <f>IF(ISNUMBER(G115), G115, Assumptions!$C$14)</f>
        <v/>
      </c>
      <c r="C116" s="18">
        <f>Data_Feed_Daily!C116</f>
        <v/>
      </c>
      <c r="D116" s="18">
        <f>Data_Feed_Daily!E116-Data_Feed_Daily!F116</f>
        <v/>
      </c>
      <c r="E116" s="18">
        <f>C116-D116-Data_Feed_Daily!D116</f>
        <v/>
      </c>
      <c r="F116" s="18">
        <f>MAX(0, D116-(B116+C116))</f>
        <v/>
      </c>
      <c r="G116" s="18">
        <f>B116+C116-D116+F116</f>
        <v/>
      </c>
      <c r="H116" s="18">
        <f>IF(ISNUMBER(O115), O115, Assumptions!$C$13)</f>
        <v/>
      </c>
      <c r="I116" s="18">
        <f>Data_Feed_Daily!G116</f>
        <v/>
      </c>
      <c r="J116" s="18">
        <f>H116+I116-F116</f>
        <v/>
      </c>
      <c r="K116" s="18">
        <f>IF(J116&lt;Assumptions!$C$10, MIN(Assumptions!$C$10-J116, Assumptions!$C$9-IF(ISNUMBER(M115), M115, Assumptions!$C$15)), 0)</f>
        <v/>
      </c>
      <c r="L116" s="18">
        <f>IF(AND(J116&gt;Assumptions!$C$11, IF(ISNUMBER(M115), M115, Assumptions!$C$15)&gt;0), MIN(J116-Assumptions!$C$11, IF(ISNUMBER(M115), M115, Assumptions!$C$15)), 0)</f>
        <v/>
      </c>
      <c r="M116" s="18">
        <f>IF(ISNUMBER(M115), M115, Assumptions!$C$15)+K116-L116</f>
        <v/>
      </c>
      <c r="N116" s="18">
        <f>ROUND(M116*(Assumptions!$C$19/Assumptions!$C$8), 2)</f>
        <v/>
      </c>
      <c r="O116" s="18">
        <f>J116+K116-L116-N116</f>
        <v/>
      </c>
      <c r="P116" s="18">
        <f>O116+(Assumptions!$C$9-M116)</f>
        <v/>
      </c>
      <c r="Q116" s="18">
        <f>P116-Assumptions!$C$10</f>
        <v/>
      </c>
      <c r="R116" s="21">
        <f>IF(Q116&lt;Assumptions!$C$12, "ALERT TRIGGERED", "COMPLIANT")</f>
        <v/>
      </c>
    </row>
    <row r="117">
      <c r="A117" s="19">
        <f>Data_Feed_Daily!A117</f>
        <v/>
      </c>
      <c r="B117" s="20">
        <f>IF(ISNUMBER(G116), G116, Assumptions!$C$14)</f>
        <v/>
      </c>
      <c r="C117" s="20">
        <f>Data_Feed_Daily!C117</f>
        <v/>
      </c>
      <c r="D117" s="20">
        <f>Data_Feed_Daily!E117-Data_Feed_Daily!F117</f>
        <v/>
      </c>
      <c r="E117" s="20">
        <f>C117-D117-Data_Feed_Daily!D117</f>
        <v/>
      </c>
      <c r="F117" s="20">
        <f>MAX(0, D117-(B117+C117))</f>
        <v/>
      </c>
      <c r="G117" s="20">
        <f>B117+C117-D117+F117</f>
        <v/>
      </c>
      <c r="H117" s="20">
        <f>IF(ISNUMBER(O116), O116, Assumptions!$C$13)</f>
        <v/>
      </c>
      <c r="I117" s="20">
        <f>Data_Feed_Daily!G117</f>
        <v/>
      </c>
      <c r="J117" s="20">
        <f>H117+I117-F117</f>
        <v/>
      </c>
      <c r="K117" s="20">
        <f>IF(J117&lt;Assumptions!$C$10, MIN(Assumptions!$C$10-J117, Assumptions!$C$9-IF(ISNUMBER(M116), M116, Assumptions!$C$15)), 0)</f>
        <v/>
      </c>
      <c r="L117" s="20">
        <f>IF(AND(J117&gt;Assumptions!$C$11, IF(ISNUMBER(M116), M116, Assumptions!$C$15)&gt;0), MIN(J117-Assumptions!$C$11, IF(ISNUMBER(M116), M116, Assumptions!$C$15)), 0)</f>
        <v/>
      </c>
      <c r="M117" s="20">
        <f>IF(ISNUMBER(M116), M116, Assumptions!$C$15)+K117-L117</f>
        <v/>
      </c>
      <c r="N117" s="20">
        <f>ROUND(M117*(Assumptions!$C$19/Assumptions!$C$8), 2)</f>
        <v/>
      </c>
      <c r="O117" s="20">
        <f>J117+K117-L117-N117</f>
        <v/>
      </c>
      <c r="P117" s="20">
        <f>O117+(Assumptions!$C$9-M117)</f>
        <v/>
      </c>
      <c r="Q117" s="20">
        <f>P117-Assumptions!$C$10</f>
        <v/>
      </c>
      <c r="R117" s="22">
        <f>IF(Q117&lt;Assumptions!$C$12, "ALERT TRIGGERED", "COMPLIANT")</f>
        <v/>
      </c>
    </row>
    <row r="118">
      <c r="A118" s="17">
        <f>Data_Feed_Daily!A118</f>
        <v/>
      </c>
      <c r="B118" s="18">
        <f>IF(ISNUMBER(G117), G117, Assumptions!$C$14)</f>
        <v/>
      </c>
      <c r="C118" s="18">
        <f>Data_Feed_Daily!C118</f>
        <v/>
      </c>
      <c r="D118" s="18">
        <f>Data_Feed_Daily!E118-Data_Feed_Daily!F118</f>
        <v/>
      </c>
      <c r="E118" s="18">
        <f>C118-D118-Data_Feed_Daily!D118</f>
        <v/>
      </c>
      <c r="F118" s="18">
        <f>MAX(0, D118-(B118+C118))</f>
        <v/>
      </c>
      <c r="G118" s="18">
        <f>B118+C118-D118+F118</f>
        <v/>
      </c>
      <c r="H118" s="18">
        <f>IF(ISNUMBER(O117), O117, Assumptions!$C$13)</f>
        <v/>
      </c>
      <c r="I118" s="18">
        <f>Data_Feed_Daily!G118</f>
        <v/>
      </c>
      <c r="J118" s="18">
        <f>H118+I118-F118</f>
        <v/>
      </c>
      <c r="K118" s="18">
        <f>IF(J118&lt;Assumptions!$C$10, MIN(Assumptions!$C$10-J118, Assumptions!$C$9-IF(ISNUMBER(M117), M117, Assumptions!$C$15)), 0)</f>
        <v/>
      </c>
      <c r="L118" s="18">
        <f>IF(AND(J118&gt;Assumptions!$C$11, IF(ISNUMBER(M117), M117, Assumptions!$C$15)&gt;0), MIN(J118-Assumptions!$C$11, IF(ISNUMBER(M117), M117, Assumptions!$C$15)), 0)</f>
        <v/>
      </c>
      <c r="M118" s="18">
        <f>IF(ISNUMBER(M117), M117, Assumptions!$C$15)+K118-L118</f>
        <v/>
      </c>
      <c r="N118" s="18">
        <f>ROUND(M118*(Assumptions!$C$19/Assumptions!$C$8), 2)</f>
        <v/>
      </c>
      <c r="O118" s="18">
        <f>J118+K118-L118-N118</f>
        <v/>
      </c>
      <c r="P118" s="18">
        <f>O118+(Assumptions!$C$9-M118)</f>
        <v/>
      </c>
      <c r="Q118" s="18">
        <f>P118-Assumptions!$C$10</f>
        <v/>
      </c>
      <c r="R118" s="21">
        <f>IF(Q118&lt;Assumptions!$C$12, "ALERT TRIGGERED", "COMPLIANT")</f>
        <v/>
      </c>
    </row>
    <row r="119">
      <c r="A119" s="19">
        <f>Data_Feed_Daily!A119</f>
        <v/>
      </c>
      <c r="B119" s="20">
        <f>IF(ISNUMBER(G118), G118, Assumptions!$C$14)</f>
        <v/>
      </c>
      <c r="C119" s="20">
        <f>Data_Feed_Daily!C119</f>
        <v/>
      </c>
      <c r="D119" s="20">
        <f>Data_Feed_Daily!E119-Data_Feed_Daily!F119</f>
        <v/>
      </c>
      <c r="E119" s="20">
        <f>C119-D119-Data_Feed_Daily!D119</f>
        <v/>
      </c>
      <c r="F119" s="20">
        <f>MAX(0, D119-(B119+C119))</f>
        <v/>
      </c>
      <c r="G119" s="20">
        <f>B119+C119-D119+F119</f>
        <v/>
      </c>
      <c r="H119" s="20">
        <f>IF(ISNUMBER(O118), O118, Assumptions!$C$13)</f>
        <v/>
      </c>
      <c r="I119" s="20">
        <f>Data_Feed_Daily!G119</f>
        <v/>
      </c>
      <c r="J119" s="20">
        <f>H119+I119-F119</f>
        <v/>
      </c>
      <c r="K119" s="20">
        <f>IF(J119&lt;Assumptions!$C$10, MIN(Assumptions!$C$10-J119, Assumptions!$C$9-IF(ISNUMBER(M118), M118, Assumptions!$C$15)), 0)</f>
        <v/>
      </c>
      <c r="L119" s="20">
        <f>IF(AND(J119&gt;Assumptions!$C$11, IF(ISNUMBER(M118), M118, Assumptions!$C$15)&gt;0), MIN(J119-Assumptions!$C$11, IF(ISNUMBER(M118), M118, Assumptions!$C$15)), 0)</f>
        <v/>
      </c>
      <c r="M119" s="20">
        <f>IF(ISNUMBER(M118), M118, Assumptions!$C$15)+K119-L119</f>
        <v/>
      </c>
      <c r="N119" s="20">
        <f>ROUND(M119*(Assumptions!$C$19/Assumptions!$C$8), 2)</f>
        <v/>
      </c>
      <c r="O119" s="20">
        <f>J119+K119-L119-N119</f>
        <v/>
      </c>
      <c r="P119" s="20">
        <f>O119+(Assumptions!$C$9-M119)</f>
        <v/>
      </c>
      <c r="Q119" s="20">
        <f>P119-Assumptions!$C$10</f>
        <v/>
      </c>
      <c r="R119" s="22">
        <f>IF(Q119&lt;Assumptions!$C$12, "ALERT TRIGGERED", "COMPLIANT")</f>
        <v/>
      </c>
    </row>
    <row r="120">
      <c r="A120" s="17">
        <f>Data_Feed_Daily!A120</f>
        <v/>
      </c>
      <c r="B120" s="18">
        <f>IF(ISNUMBER(G119), G119, Assumptions!$C$14)</f>
        <v/>
      </c>
      <c r="C120" s="18">
        <f>Data_Feed_Daily!C120</f>
        <v/>
      </c>
      <c r="D120" s="18">
        <f>Data_Feed_Daily!E120-Data_Feed_Daily!F120</f>
        <v/>
      </c>
      <c r="E120" s="18">
        <f>C120-D120-Data_Feed_Daily!D120</f>
        <v/>
      </c>
      <c r="F120" s="18">
        <f>MAX(0, D120-(B120+C120))</f>
        <v/>
      </c>
      <c r="G120" s="18">
        <f>B120+C120-D120+F120</f>
        <v/>
      </c>
      <c r="H120" s="18">
        <f>IF(ISNUMBER(O119), O119, Assumptions!$C$13)</f>
        <v/>
      </c>
      <c r="I120" s="18">
        <f>Data_Feed_Daily!G120</f>
        <v/>
      </c>
      <c r="J120" s="18">
        <f>H120+I120-F120</f>
        <v/>
      </c>
      <c r="K120" s="18">
        <f>IF(J120&lt;Assumptions!$C$10, MIN(Assumptions!$C$10-J120, Assumptions!$C$9-IF(ISNUMBER(M119), M119, Assumptions!$C$15)), 0)</f>
        <v/>
      </c>
      <c r="L120" s="18">
        <f>IF(AND(J120&gt;Assumptions!$C$11, IF(ISNUMBER(M119), M119, Assumptions!$C$15)&gt;0), MIN(J120-Assumptions!$C$11, IF(ISNUMBER(M119), M119, Assumptions!$C$15)), 0)</f>
        <v/>
      </c>
      <c r="M120" s="18">
        <f>IF(ISNUMBER(M119), M119, Assumptions!$C$15)+K120-L120</f>
        <v/>
      </c>
      <c r="N120" s="18">
        <f>ROUND(M120*(Assumptions!$C$19/Assumptions!$C$8), 2)</f>
        <v/>
      </c>
      <c r="O120" s="18">
        <f>J120+K120-L120-N120</f>
        <v/>
      </c>
      <c r="P120" s="18">
        <f>O120+(Assumptions!$C$9-M120)</f>
        <v/>
      </c>
      <c r="Q120" s="18">
        <f>P120-Assumptions!$C$10</f>
        <v/>
      </c>
      <c r="R120" s="21">
        <f>IF(Q120&lt;Assumptions!$C$12, "ALERT TRIGGERED", "COMPLIANT")</f>
        <v/>
      </c>
    </row>
    <row r="121">
      <c r="A121" s="19">
        <f>Data_Feed_Daily!A121</f>
        <v/>
      </c>
      <c r="B121" s="20">
        <f>IF(ISNUMBER(G120), G120, Assumptions!$C$14)</f>
        <v/>
      </c>
      <c r="C121" s="20">
        <f>Data_Feed_Daily!C121</f>
        <v/>
      </c>
      <c r="D121" s="20">
        <f>Data_Feed_Daily!E121-Data_Feed_Daily!F121</f>
        <v/>
      </c>
      <c r="E121" s="20">
        <f>C121-D121-Data_Feed_Daily!D121</f>
        <v/>
      </c>
      <c r="F121" s="20">
        <f>MAX(0, D121-(B121+C121))</f>
        <v/>
      </c>
      <c r="G121" s="20">
        <f>B121+C121-D121+F121</f>
        <v/>
      </c>
      <c r="H121" s="20">
        <f>IF(ISNUMBER(O120), O120, Assumptions!$C$13)</f>
        <v/>
      </c>
      <c r="I121" s="20">
        <f>Data_Feed_Daily!G121</f>
        <v/>
      </c>
      <c r="J121" s="20">
        <f>H121+I121-F121</f>
        <v/>
      </c>
      <c r="K121" s="20">
        <f>IF(J121&lt;Assumptions!$C$10, MIN(Assumptions!$C$10-J121, Assumptions!$C$9-IF(ISNUMBER(M120), M120, Assumptions!$C$15)), 0)</f>
        <v/>
      </c>
      <c r="L121" s="20">
        <f>IF(AND(J121&gt;Assumptions!$C$11, IF(ISNUMBER(M120), M120, Assumptions!$C$15)&gt;0), MIN(J121-Assumptions!$C$11, IF(ISNUMBER(M120), M120, Assumptions!$C$15)), 0)</f>
        <v/>
      </c>
      <c r="M121" s="20">
        <f>IF(ISNUMBER(M120), M120, Assumptions!$C$15)+K121-L121</f>
        <v/>
      </c>
      <c r="N121" s="20">
        <f>ROUND(M121*(Assumptions!$C$19/Assumptions!$C$8), 2)</f>
        <v/>
      </c>
      <c r="O121" s="20">
        <f>J121+K121-L121-N121</f>
        <v/>
      </c>
      <c r="P121" s="20">
        <f>O121+(Assumptions!$C$9-M121)</f>
        <v/>
      </c>
      <c r="Q121" s="20">
        <f>P121-Assumptions!$C$10</f>
        <v/>
      </c>
      <c r="R121" s="22">
        <f>IF(Q121&lt;Assumptions!$C$12, "ALERT TRIGGERED", "COMPLIANT")</f>
        <v/>
      </c>
    </row>
    <row r="122">
      <c r="A122" s="17">
        <f>Data_Feed_Daily!A122</f>
        <v/>
      </c>
      <c r="B122" s="18">
        <f>IF(ISNUMBER(G121), G121, Assumptions!$C$14)</f>
        <v/>
      </c>
      <c r="C122" s="18">
        <f>Data_Feed_Daily!C122</f>
        <v/>
      </c>
      <c r="D122" s="18">
        <f>Data_Feed_Daily!E122-Data_Feed_Daily!F122</f>
        <v/>
      </c>
      <c r="E122" s="18">
        <f>C122-D122-Data_Feed_Daily!D122</f>
        <v/>
      </c>
      <c r="F122" s="18">
        <f>MAX(0, D122-(B122+C122))</f>
        <v/>
      </c>
      <c r="G122" s="18">
        <f>B122+C122-D122+F122</f>
        <v/>
      </c>
      <c r="H122" s="18">
        <f>IF(ISNUMBER(O121), O121, Assumptions!$C$13)</f>
        <v/>
      </c>
      <c r="I122" s="18">
        <f>Data_Feed_Daily!G122</f>
        <v/>
      </c>
      <c r="J122" s="18">
        <f>H122+I122-F122</f>
        <v/>
      </c>
      <c r="K122" s="18">
        <f>IF(J122&lt;Assumptions!$C$10, MIN(Assumptions!$C$10-J122, Assumptions!$C$9-IF(ISNUMBER(M121), M121, Assumptions!$C$15)), 0)</f>
        <v/>
      </c>
      <c r="L122" s="18">
        <f>IF(AND(J122&gt;Assumptions!$C$11, IF(ISNUMBER(M121), M121, Assumptions!$C$15)&gt;0), MIN(J122-Assumptions!$C$11, IF(ISNUMBER(M121), M121, Assumptions!$C$15)), 0)</f>
        <v/>
      </c>
      <c r="M122" s="18">
        <f>IF(ISNUMBER(M121), M121, Assumptions!$C$15)+K122-L122</f>
        <v/>
      </c>
      <c r="N122" s="18">
        <f>ROUND(M122*(Assumptions!$C$19/Assumptions!$C$8), 2)</f>
        <v/>
      </c>
      <c r="O122" s="18">
        <f>J122+K122-L122-N122</f>
        <v/>
      </c>
      <c r="P122" s="18">
        <f>O122+(Assumptions!$C$9-M122)</f>
        <v/>
      </c>
      <c r="Q122" s="18">
        <f>P122-Assumptions!$C$10</f>
        <v/>
      </c>
      <c r="R122" s="21">
        <f>IF(Q122&lt;Assumptions!$C$12, "ALERT TRIGGERED", "COMPLIANT")</f>
        <v/>
      </c>
    </row>
    <row r="123">
      <c r="A123" s="19">
        <f>Data_Feed_Daily!A123</f>
        <v/>
      </c>
      <c r="B123" s="20">
        <f>IF(ISNUMBER(G122), G122, Assumptions!$C$14)</f>
        <v/>
      </c>
      <c r="C123" s="20">
        <f>Data_Feed_Daily!C123</f>
        <v/>
      </c>
      <c r="D123" s="20">
        <f>Data_Feed_Daily!E123-Data_Feed_Daily!F123</f>
        <v/>
      </c>
      <c r="E123" s="20">
        <f>C123-D123-Data_Feed_Daily!D123</f>
        <v/>
      </c>
      <c r="F123" s="20">
        <f>MAX(0, D123-(B123+C123))</f>
        <v/>
      </c>
      <c r="G123" s="20">
        <f>B123+C123-D123+F123</f>
        <v/>
      </c>
      <c r="H123" s="20">
        <f>IF(ISNUMBER(O122), O122, Assumptions!$C$13)</f>
        <v/>
      </c>
      <c r="I123" s="20">
        <f>Data_Feed_Daily!G123</f>
        <v/>
      </c>
      <c r="J123" s="20">
        <f>H123+I123-F123</f>
        <v/>
      </c>
      <c r="K123" s="20">
        <f>IF(J123&lt;Assumptions!$C$10, MIN(Assumptions!$C$10-J123, Assumptions!$C$9-IF(ISNUMBER(M122), M122, Assumptions!$C$15)), 0)</f>
        <v/>
      </c>
      <c r="L123" s="20">
        <f>IF(AND(J123&gt;Assumptions!$C$11, IF(ISNUMBER(M122), M122, Assumptions!$C$15)&gt;0), MIN(J123-Assumptions!$C$11, IF(ISNUMBER(M122), M122, Assumptions!$C$15)), 0)</f>
        <v/>
      </c>
      <c r="M123" s="20">
        <f>IF(ISNUMBER(M122), M122, Assumptions!$C$15)+K123-L123</f>
        <v/>
      </c>
      <c r="N123" s="20">
        <f>ROUND(M123*(Assumptions!$C$19/Assumptions!$C$8), 2)</f>
        <v/>
      </c>
      <c r="O123" s="20">
        <f>J123+K123-L123-N123</f>
        <v/>
      </c>
      <c r="P123" s="20">
        <f>O123+(Assumptions!$C$9-M123)</f>
        <v/>
      </c>
      <c r="Q123" s="20">
        <f>P123-Assumptions!$C$10</f>
        <v/>
      </c>
      <c r="R123" s="22">
        <f>IF(Q123&lt;Assumptions!$C$12, "ALERT TRIGGERED", "COMPLIANT")</f>
        <v/>
      </c>
    </row>
    <row r="124">
      <c r="A124" s="17">
        <f>Data_Feed_Daily!A124</f>
        <v/>
      </c>
      <c r="B124" s="18">
        <f>IF(ISNUMBER(G123), G123, Assumptions!$C$14)</f>
        <v/>
      </c>
      <c r="C124" s="18">
        <f>Data_Feed_Daily!C124</f>
        <v/>
      </c>
      <c r="D124" s="18">
        <f>Data_Feed_Daily!E124-Data_Feed_Daily!F124</f>
        <v/>
      </c>
      <c r="E124" s="18">
        <f>C124-D124-Data_Feed_Daily!D124</f>
        <v/>
      </c>
      <c r="F124" s="18">
        <f>MAX(0, D124-(B124+C124))</f>
        <v/>
      </c>
      <c r="G124" s="18">
        <f>B124+C124-D124+F124</f>
        <v/>
      </c>
      <c r="H124" s="18">
        <f>IF(ISNUMBER(O123), O123, Assumptions!$C$13)</f>
        <v/>
      </c>
      <c r="I124" s="18">
        <f>Data_Feed_Daily!G124</f>
        <v/>
      </c>
      <c r="J124" s="18">
        <f>H124+I124-F124</f>
        <v/>
      </c>
      <c r="K124" s="18">
        <f>IF(J124&lt;Assumptions!$C$10, MIN(Assumptions!$C$10-J124, Assumptions!$C$9-IF(ISNUMBER(M123), M123, Assumptions!$C$15)), 0)</f>
        <v/>
      </c>
      <c r="L124" s="18">
        <f>IF(AND(J124&gt;Assumptions!$C$11, IF(ISNUMBER(M123), M123, Assumptions!$C$15)&gt;0), MIN(J124-Assumptions!$C$11, IF(ISNUMBER(M123), M123, Assumptions!$C$15)), 0)</f>
        <v/>
      </c>
      <c r="M124" s="18">
        <f>IF(ISNUMBER(M123), M123, Assumptions!$C$15)+K124-L124</f>
        <v/>
      </c>
      <c r="N124" s="18">
        <f>ROUND(M124*(Assumptions!$C$19/Assumptions!$C$8), 2)</f>
        <v/>
      </c>
      <c r="O124" s="18">
        <f>J124+K124-L124-N124</f>
        <v/>
      </c>
      <c r="P124" s="18">
        <f>O124+(Assumptions!$C$9-M124)</f>
        <v/>
      </c>
      <c r="Q124" s="18">
        <f>P124-Assumptions!$C$10</f>
        <v/>
      </c>
      <c r="R124" s="21">
        <f>IF(Q124&lt;Assumptions!$C$12, "ALERT TRIGGERED", "COMPLIANT")</f>
        <v/>
      </c>
    </row>
    <row r="125">
      <c r="A125" s="19">
        <f>Data_Feed_Daily!A125</f>
        <v/>
      </c>
      <c r="B125" s="20">
        <f>IF(ISNUMBER(G124), G124, Assumptions!$C$14)</f>
        <v/>
      </c>
      <c r="C125" s="20">
        <f>Data_Feed_Daily!C125</f>
        <v/>
      </c>
      <c r="D125" s="20">
        <f>Data_Feed_Daily!E125-Data_Feed_Daily!F125</f>
        <v/>
      </c>
      <c r="E125" s="20">
        <f>C125-D125-Data_Feed_Daily!D125</f>
        <v/>
      </c>
      <c r="F125" s="20">
        <f>MAX(0, D125-(B125+C125))</f>
        <v/>
      </c>
      <c r="G125" s="20">
        <f>B125+C125-D125+F125</f>
        <v/>
      </c>
      <c r="H125" s="20">
        <f>IF(ISNUMBER(O124), O124, Assumptions!$C$13)</f>
        <v/>
      </c>
      <c r="I125" s="20">
        <f>Data_Feed_Daily!G125</f>
        <v/>
      </c>
      <c r="J125" s="20">
        <f>H125+I125-F125</f>
        <v/>
      </c>
      <c r="K125" s="20">
        <f>IF(J125&lt;Assumptions!$C$10, MIN(Assumptions!$C$10-J125, Assumptions!$C$9-IF(ISNUMBER(M124), M124, Assumptions!$C$15)), 0)</f>
        <v/>
      </c>
      <c r="L125" s="20">
        <f>IF(AND(J125&gt;Assumptions!$C$11, IF(ISNUMBER(M124), M124, Assumptions!$C$15)&gt;0), MIN(J125-Assumptions!$C$11, IF(ISNUMBER(M124), M124, Assumptions!$C$15)), 0)</f>
        <v/>
      </c>
      <c r="M125" s="20">
        <f>IF(ISNUMBER(M124), M124, Assumptions!$C$15)+K125-L125</f>
        <v/>
      </c>
      <c r="N125" s="20">
        <f>ROUND(M125*(Assumptions!$C$19/Assumptions!$C$8), 2)</f>
        <v/>
      </c>
      <c r="O125" s="20">
        <f>J125+K125-L125-N125</f>
        <v/>
      </c>
      <c r="P125" s="20">
        <f>O125+(Assumptions!$C$9-M125)</f>
        <v/>
      </c>
      <c r="Q125" s="20">
        <f>P125-Assumptions!$C$10</f>
        <v/>
      </c>
      <c r="R125" s="22">
        <f>IF(Q125&lt;Assumptions!$C$12, "ALERT TRIGGERED", "COMPLIANT")</f>
        <v/>
      </c>
    </row>
    <row r="126">
      <c r="A126" s="17">
        <f>Data_Feed_Daily!A126</f>
        <v/>
      </c>
      <c r="B126" s="18">
        <f>IF(ISNUMBER(G125), G125, Assumptions!$C$14)</f>
        <v/>
      </c>
      <c r="C126" s="18">
        <f>Data_Feed_Daily!C126</f>
        <v/>
      </c>
      <c r="D126" s="18">
        <f>Data_Feed_Daily!E126-Data_Feed_Daily!F126</f>
        <v/>
      </c>
      <c r="E126" s="18">
        <f>C126-D126-Data_Feed_Daily!D126</f>
        <v/>
      </c>
      <c r="F126" s="18">
        <f>MAX(0, D126-(B126+C126))</f>
        <v/>
      </c>
      <c r="G126" s="18">
        <f>B126+C126-D126+F126</f>
        <v/>
      </c>
      <c r="H126" s="18">
        <f>IF(ISNUMBER(O125), O125, Assumptions!$C$13)</f>
        <v/>
      </c>
      <c r="I126" s="18">
        <f>Data_Feed_Daily!G126</f>
        <v/>
      </c>
      <c r="J126" s="18">
        <f>H126+I126-F126</f>
        <v/>
      </c>
      <c r="K126" s="18">
        <f>IF(J126&lt;Assumptions!$C$10, MIN(Assumptions!$C$10-J126, Assumptions!$C$9-IF(ISNUMBER(M125), M125, Assumptions!$C$15)), 0)</f>
        <v/>
      </c>
      <c r="L126" s="18">
        <f>IF(AND(J126&gt;Assumptions!$C$11, IF(ISNUMBER(M125), M125, Assumptions!$C$15)&gt;0), MIN(J126-Assumptions!$C$11, IF(ISNUMBER(M125), M125, Assumptions!$C$15)), 0)</f>
        <v/>
      </c>
      <c r="M126" s="18">
        <f>IF(ISNUMBER(M125), M125, Assumptions!$C$15)+K126-L126</f>
        <v/>
      </c>
      <c r="N126" s="18">
        <f>ROUND(M126*(Assumptions!$C$19/Assumptions!$C$8), 2)</f>
        <v/>
      </c>
      <c r="O126" s="18">
        <f>J126+K126-L126-N126</f>
        <v/>
      </c>
      <c r="P126" s="18">
        <f>O126+(Assumptions!$C$9-M126)</f>
        <v/>
      </c>
      <c r="Q126" s="18">
        <f>P126-Assumptions!$C$10</f>
        <v/>
      </c>
      <c r="R126" s="21">
        <f>IF(Q126&lt;Assumptions!$C$12, "ALERT TRIGGERED", "COMPLIANT")</f>
        <v/>
      </c>
    </row>
    <row r="127">
      <c r="A127" s="19">
        <f>Data_Feed_Daily!A127</f>
        <v/>
      </c>
      <c r="B127" s="20">
        <f>IF(ISNUMBER(G126), G126, Assumptions!$C$14)</f>
        <v/>
      </c>
      <c r="C127" s="20">
        <f>Data_Feed_Daily!C127</f>
        <v/>
      </c>
      <c r="D127" s="20">
        <f>Data_Feed_Daily!E127-Data_Feed_Daily!F127</f>
        <v/>
      </c>
      <c r="E127" s="20">
        <f>C127-D127-Data_Feed_Daily!D127</f>
        <v/>
      </c>
      <c r="F127" s="20">
        <f>MAX(0, D127-(B127+C127))</f>
        <v/>
      </c>
      <c r="G127" s="20">
        <f>B127+C127-D127+F127</f>
        <v/>
      </c>
      <c r="H127" s="20">
        <f>IF(ISNUMBER(O126), O126, Assumptions!$C$13)</f>
        <v/>
      </c>
      <c r="I127" s="20">
        <f>Data_Feed_Daily!G127</f>
        <v/>
      </c>
      <c r="J127" s="20">
        <f>H127+I127-F127</f>
        <v/>
      </c>
      <c r="K127" s="20">
        <f>IF(J127&lt;Assumptions!$C$10, MIN(Assumptions!$C$10-J127, Assumptions!$C$9-IF(ISNUMBER(M126), M126, Assumptions!$C$15)), 0)</f>
        <v/>
      </c>
      <c r="L127" s="20">
        <f>IF(AND(J127&gt;Assumptions!$C$11, IF(ISNUMBER(M126), M126, Assumptions!$C$15)&gt;0), MIN(J127-Assumptions!$C$11, IF(ISNUMBER(M126), M126, Assumptions!$C$15)), 0)</f>
        <v/>
      </c>
      <c r="M127" s="20">
        <f>IF(ISNUMBER(M126), M126, Assumptions!$C$15)+K127-L127</f>
        <v/>
      </c>
      <c r="N127" s="20">
        <f>ROUND(M127*(Assumptions!$C$19/Assumptions!$C$8), 2)</f>
        <v/>
      </c>
      <c r="O127" s="20">
        <f>J127+K127-L127-N127</f>
        <v/>
      </c>
      <c r="P127" s="20">
        <f>O127+(Assumptions!$C$9-M127)</f>
        <v/>
      </c>
      <c r="Q127" s="20">
        <f>P127-Assumptions!$C$10</f>
        <v/>
      </c>
      <c r="R127" s="22">
        <f>IF(Q127&lt;Assumptions!$C$12, "ALERT TRIGGERED", "COMPLIANT")</f>
        <v/>
      </c>
    </row>
    <row r="128">
      <c r="A128" s="17">
        <f>Data_Feed_Daily!A128</f>
        <v/>
      </c>
      <c r="B128" s="18">
        <f>IF(ISNUMBER(G127), G127, Assumptions!$C$14)</f>
        <v/>
      </c>
      <c r="C128" s="18">
        <f>Data_Feed_Daily!C128</f>
        <v/>
      </c>
      <c r="D128" s="18">
        <f>Data_Feed_Daily!E128-Data_Feed_Daily!F128</f>
        <v/>
      </c>
      <c r="E128" s="18">
        <f>C128-D128-Data_Feed_Daily!D128</f>
        <v/>
      </c>
      <c r="F128" s="18">
        <f>MAX(0, D128-(B128+C128))</f>
        <v/>
      </c>
      <c r="G128" s="18">
        <f>B128+C128-D128+F128</f>
        <v/>
      </c>
      <c r="H128" s="18">
        <f>IF(ISNUMBER(O127), O127, Assumptions!$C$13)</f>
        <v/>
      </c>
      <c r="I128" s="18">
        <f>Data_Feed_Daily!G128</f>
        <v/>
      </c>
      <c r="J128" s="18">
        <f>H128+I128-F128</f>
        <v/>
      </c>
      <c r="K128" s="18">
        <f>IF(J128&lt;Assumptions!$C$10, MIN(Assumptions!$C$10-J128, Assumptions!$C$9-IF(ISNUMBER(M127), M127, Assumptions!$C$15)), 0)</f>
        <v/>
      </c>
      <c r="L128" s="18">
        <f>IF(AND(J128&gt;Assumptions!$C$11, IF(ISNUMBER(M127), M127, Assumptions!$C$15)&gt;0), MIN(J128-Assumptions!$C$11, IF(ISNUMBER(M127), M127, Assumptions!$C$15)), 0)</f>
        <v/>
      </c>
      <c r="M128" s="18">
        <f>IF(ISNUMBER(M127), M127, Assumptions!$C$15)+K128-L128</f>
        <v/>
      </c>
      <c r="N128" s="18">
        <f>ROUND(M128*(Assumptions!$C$19/Assumptions!$C$8), 2)</f>
        <v/>
      </c>
      <c r="O128" s="18">
        <f>J128+K128-L128-N128</f>
        <v/>
      </c>
      <c r="P128" s="18">
        <f>O128+(Assumptions!$C$9-M128)</f>
        <v/>
      </c>
      <c r="Q128" s="18">
        <f>P128-Assumptions!$C$10</f>
        <v/>
      </c>
      <c r="R128" s="21">
        <f>IF(Q128&lt;Assumptions!$C$12, "ALERT TRIGGERED", "COMPLIANT")</f>
        <v/>
      </c>
    </row>
    <row r="129">
      <c r="A129" s="19">
        <f>Data_Feed_Daily!A129</f>
        <v/>
      </c>
      <c r="B129" s="20">
        <f>IF(ISNUMBER(G128), G128, Assumptions!$C$14)</f>
        <v/>
      </c>
      <c r="C129" s="20">
        <f>Data_Feed_Daily!C129</f>
        <v/>
      </c>
      <c r="D129" s="20">
        <f>Data_Feed_Daily!E129-Data_Feed_Daily!F129</f>
        <v/>
      </c>
      <c r="E129" s="20">
        <f>C129-D129-Data_Feed_Daily!D129</f>
        <v/>
      </c>
      <c r="F129" s="20">
        <f>MAX(0, D129-(B129+C129))</f>
        <v/>
      </c>
      <c r="G129" s="20">
        <f>B129+C129-D129+F129</f>
        <v/>
      </c>
      <c r="H129" s="20">
        <f>IF(ISNUMBER(O128), O128, Assumptions!$C$13)</f>
        <v/>
      </c>
      <c r="I129" s="20">
        <f>Data_Feed_Daily!G129</f>
        <v/>
      </c>
      <c r="J129" s="20">
        <f>H129+I129-F129</f>
        <v/>
      </c>
      <c r="K129" s="20">
        <f>IF(J129&lt;Assumptions!$C$10, MIN(Assumptions!$C$10-J129, Assumptions!$C$9-IF(ISNUMBER(M128), M128, Assumptions!$C$15)), 0)</f>
        <v/>
      </c>
      <c r="L129" s="20">
        <f>IF(AND(J129&gt;Assumptions!$C$11, IF(ISNUMBER(M128), M128, Assumptions!$C$15)&gt;0), MIN(J129-Assumptions!$C$11, IF(ISNUMBER(M128), M128, Assumptions!$C$15)), 0)</f>
        <v/>
      </c>
      <c r="M129" s="20">
        <f>IF(ISNUMBER(M128), M128, Assumptions!$C$15)+K129-L129</f>
        <v/>
      </c>
      <c r="N129" s="20">
        <f>ROUND(M129*(Assumptions!$C$19/Assumptions!$C$8), 2)</f>
        <v/>
      </c>
      <c r="O129" s="20">
        <f>J129+K129-L129-N129</f>
        <v/>
      </c>
      <c r="P129" s="20">
        <f>O129+(Assumptions!$C$9-M129)</f>
        <v/>
      </c>
      <c r="Q129" s="20">
        <f>P129-Assumptions!$C$10</f>
        <v/>
      </c>
      <c r="R129" s="22">
        <f>IF(Q129&lt;Assumptions!$C$12, "ALERT TRIGGERED", "COMPLIANT")</f>
        <v/>
      </c>
    </row>
    <row r="130">
      <c r="A130" s="17">
        <f>Data_Feed_Daily!A130</f>
        <v/>
      </c>
      <c r="B130" s="18">
        <f>IF(ISNUMBER(G129), G129, Assumptions!$C$14)</f>
        <v/>
      </c>
      <c r="C130" s="18">
        <f>Data_Feed_Daily!C130</f>
        <v/>
      </c>
      <c r="D130" s="18">
        <f>Data_Feed_Daily!E130-Data_Feed_Daily!F130</f>
        <v/>
      </c>
      <c r="E130" s="18">
        <f>C130-D130-Data_Feed_Daily!D130</f>
        <v/>
      </c>
      <c r="F130" s="18">
        <f>MAX(0, D130-(B130+C130))</f>
        <v/>
      </c>
      <c r="G130" s="18">
        <f>B130+C130-D130+F130</f>
        <v/>
      </c>
      <c r="H130" s="18">
        <f>IF(ISNUMBER(O129), O129, Assumptions!$C$13)</f>
        <v/>
      </c>
      <c r="I130" s="18">
        <f>Data_Feed_Daily!G130</f>
        <v/>
      </c>
      <c r="J130" s="18">
        <f>H130+I130-F130</f>
        <v/>
      </c>
      <c r="K130" s="18">
        <f>IF(J130&lt;Assumptions!$C$10, MIN(Assumptions!$C$10-J130, Assumptions!$C$9-IF(ISNUMBER(M129), M129, Assumptions!$C$15)), 0)</f>
        <v/>
      </c>
      <c r="L130" s="18">
        <f>IF(AND(J130&gt;Assumptions!$C$11, IF(ISNUMBER(M129), M129, Assumptions!$C$15)&gt;0), MIN(J130-Assumptions!$C$11, IF(ISNUMBER(M129), M129, Assumptions!$C$15)), 0)</f>
        <v/>
      </c>
      <c r="M130" s="18">
        <f>IF(ISNUMBER(M129), M129, Assumptions!$C$15)+K130-L130</f>
        <v/>
      </c>
      <c r="N130" s="18">
        <f>ROUND(M130*(Assumptions!$C$19/Assumptions!$C$8), 2)</f>
        <v/>
      </c>
      <c r="O130" s="18">
        <f>J130+K130-L130-N130</f>
        <v/>
      </c>
      <c r="P130" s="18">
        <f>O130+(Assumptions!$C$9-M130)</f>
        <v/>
      </c>
      <c r="Q130" s="18">
        <f>P130-Assumptions!$C$10</f>
        <v/>
      </c>
      <c r="R130" s="21">
        <f>IF(Q130&lt;Assumptions!$C$12, "ALERT TRIGGERED", "COMPLIANT")</f>
        <v/>
      </c>
    </row>
    <row r="131">
      <c r="A131" s="19">
        <f>Data_Feed_Daily!A131</f>
        <v/>
      </c>
      <c r="B131" s="20">
        <f>IF(ISNUMBER(G130), G130, Assumptions!$C$14)</f>
        <v/>
      </c>
      <c r="C131" s="20">
        <f>Data_Feed_Daily!C131</f>
        <v/>
      </c>
      <c r="D131" s="20">
        <f>Data_Feed_Daily!E131-Data_Feed_Daily!F131</f>
        <v/>
      </c>
      <c r="E131" s="20">
        <f>C131-D131-Data_Feed_Daily!D131</f>
        <v/>
      </c>
      <c r="F131" s="20">
        <f>MAX(0, D131-(B131+C131))</f>
        <v/>
      </c>
      <c r="G131" s="20">
        <f>B131+C131-D131+F131</f>
        <v/>
      </c>
      <c r="H131" s="20">
        <f>IF(ISNUMBER(O130), O130, Assumptions!$C$13)</f>
        <v/>
      </c>
      <c r="I131" s="20">
        <f>Data_Feed_Daily!G131</f>
        <v/>
      </c>
      <c r="J131" s="20">
        <f>H131+I131-F131</f>
        <v/>
      </c>
      <c r="K131" s="20">
        <f>IF(J131&lt;Assumptions!$C$10, MIN(Assumptions!$C$10-J131, Assumptions!$C$9-IF(ISNUMBER(M130), M130, Assumptions!$C$15)), 0)</f>
        <v/>
      </c>
      <c r="L131" s="20">
        <f>IF(AND(J131&gt;Assumptions!$C$11, IF(ISNUMBER(M130), M130, Assumptions!$C$15)&gt;0), MIN(J131-Assumptions!$C$11, IF(ISNUMBER(M130), M130, Assumptions!$C$15)), 0)</f>
        <v/>
      </c>
      <c r="M131" s="20">
        <f>IF(ISNUMBER(M130), M130, Assumptions!$C$15)+K131-L131</f>
        <v/>
      </c>
      <c r="N131" s="20">
        <f>ROUND(M131*(Assumptions!$C$19/Assumptions!$C$8), 2)</f>
        <v/>
      </c>
      <c r="O131" s="20">
        <f>J131+K131-L131-N131</f>
        <v/>
      </c>
      <c r="P131" s="20">
        <f>O131+(Assumptions!$C$9-M131)</f>
        <v/>
      </c>
      <c r="Q131" s="20">
        <f>P131-Assumptions!$C$10</f>
        <v/>
      </c>
      <c r="R131" s="22">
        <f>IF(Q131&lt;Assumptions!$C$12, "ALERT TRIGGERED", "COMPLIANT")</f>
        <v/>
      </c>
    </row>
    <row r="132">
      <c r="A132" s="17">
        <f>Data_Feed_Daily!A132</f>
        <v/>
      </c>
      <c r="B132" s="18">
        <f>IF(ISNUMBER(G131), G131, Assumptions!$C$14)</f>
        <v/>
      </c>
      <c r="C132" s="18">
        <f>Data_Feed_Daily!C132</f>
        <v/>
      </c>
      <c r="D132" s="18">
        <f>Data_Feed_Daily!E132-Data_Feed_Daily!F132</f>
        <v/>
      </c>
      <c r="E132" s="18">
        <f>C132-D132-Data_Feed_Daily!D132</f>
        <v/>
      </c>
      <c r="F132" s="18">
        <f>MAX(0, D132-(B132+C132))</f>
        <v/>
      </c>
      <c r="G132" s="18">
        <f>B132+C132-D132+F132</f>
        <v/>
      </c>
      <c r="H132" s="18">
        <f>IF(ISNUMBER(O131), O131, Assumptions!$C$13)</f>
        <v/>
      </c>
      <c r="I132" s="18">
        <f>Data_Feed_Daily!G132</f>
        <v/>
      </c>
      <c r="J132" s="18">
        <f>H132+I132-F132</f>
        <v/>
      </c>
      <c r="K132" s="18">
        <f>IF(J132&lt;Assumptions!$C$10, MIN(Assumptions!$C$10-J132, Assumptions!$C$9-IF(ISNUMBER(M131), M131, Assumptions!$C$15)), 0)</f>
        <v/>
      </c>
      <c r="L132" s="18">
        <f>IF(AND(J132&gt;Assumptions!$C$11, IF(ISNUMBER(M131), M131, Assumptions!$C$15)&gt;0), MIN(J132-Assumptions!$C$11, IF(ISNUMBER(M131), M131, Assumptions!$C$15)), 0)</f>
        <v/>
      </c>
      <c r="M132" s="18">
        <f>IF(ISNUMBER(M131), M131, Assumptions!$C$15)+K132-L132</f>
        <v/>
      </c>
      <c r="N132" s="18">
        <f>ROUND(M132*(Assumptions!$C$19/Assumptions!$C$8), 2)</f>
        <v/>
      </c>
      <c r="O132" s="18">
        <f>J132+K132-L132-N132</f>
        <v/>
      </c>
      <c r="P132" s="18">
        <f>O132+(Assumptions!$C$9-M132)</f>
        <v/>
      </c>
      <c r="Q132" s="18">
        <f>P132-Assumptions!$C$10</f>
        <v/>
      </c>
      <c r="R132" s="21">
        <f>IF(Q132&lt;Assumptions!$C$12, "ALERT TRIGGERED", "COMPLIANT")</f>
        <v/>
      </c>
    </row>
    <row r="133">
      <c r="A133" s="19">
        <f>Data_Feed_Daily!A133</f>
        <v/>
      </c>
      <c r="B133" s="20">
        <f>IF(ISNUMBER(G132), G132, Assumptions!$C$14)</f>
        <v/>
      </c>
      <c r="C133" s="20">
        <f>Data_Feed_Daily!C133</f>
        <v/>
      </c>
      <c r="D133" s="20">
        <f>Data_Feed_Daily!E133-Data_Feed_Daily!F133</f>
        <v/>
      </c>
      <c r="E133" s="20">
        <f>C133-D133-Data_Feed_Daily!D133</f>
        <v/>
      </c>
      <c r="F133" s="20">
        <f>MAX(0, D133-(B133+C133))</f>
        <v/>
      </c>
      <c r="G133" s="20">
        <f>B133+C133-D133+F133</f>
        <v/>
      </c>
      <c r="H133" s="20">
        <f>IF(ISNUMBER(O132), O132, Assumptions!$C$13)</f>
        <v/>
      </c>
      <c r="I133" s="20">
        <f>Data_Feed_Daily!G133</f>
        <v/>
      </c>
      <c r="J133" s="20">
        <f>H133+I133-F133</f>
        <v/>
      </c>
      <c r="K133" s="20">
        <f>IF(J133&lt;Assumptions!$C$10, MIN(Assumptions!$C$10-J133, Assumptions!$C$9-IF(ISNUMBER(M132), M132, Assumptions!$C$15)), 0)</f>
        <v/>
      </c>
      <c r="L133" s="20">
        <f>IF(AND(J133&gt;Assumptions!$C$11, IF(ISNUMBER(M132), M132, Assumptions!$C$15)&gt;0), MIN(J133-Assumptions!$C$11, IF(ISNUMBER(M132), M132, Assumptions!$C$15)), 0)</f>
        <v/>
      </c>
      <c r="M133" s="20">
        <f>IF(ISNUMBER(M132), M132, Assumptions!$C$15)+K133-L133</f>
        <v/>
      </c>
      <c r="N133" s="20">
        <f>ROUND(M133*(Assumptions!$C$19/Assumptions!$C$8), 2)</f>
        <v/>
      </c>
      <c r="O133" s="20">
        <f>J133+K133-L133-N133</f>
        <v/>
      </c>
      <c r="P133" s="20">
        <f>O133+(Assumptions!$C$9-M133)</f>
        <v/>
      </c>
      <c r="Q133" s="20">
        <f>P133-Assumptions!$C$10</f>
        <v/>
      </c>
      <c r="R133" s="22">
        <f>IF(Q133&lt;Assumptions!$C$12, "ALERT TRIGGERED", "COMPLIANT")</f>
        <v/>
      </c>
    </row>
    <row r="134">
      <c r="A134" s="17">
        <f>Data_Feed_Daily!A134</f>
        <v/>
      </c>
      <c r="B134" s="18">
        <f>IF(ISNUMBER(G133), G133, Assumptions!$C$14)</f>
        <v/>
      </c>
      <c r="C134" s="18">
        <f>Data_Feed_Daily!C134</f>
        <v/>
      </c>
      <c r="D134" s="18">
        <f>Data_Feed_Daily!E134-Data_Feed_Daily!F134</f>
        <v/>
      </c>
      <c r="E134" s="18">
        <f>C134-D134-Data_Feed_Daily!D134</f>
        <v/>
      </c>
      <c r="F134" s="18">
        <f>MAX(0, D134-(B134+C134))</f>
        <v/>
      </c>
      <c r="G134" s="18">
        <f>B134+C134-D134+F134</f>
        <v/>
      </c>
      <c r="H134" s="18">
        <f>IF(ISNUMBER(O133), O133, Assumptions!$C$13)</f>
        <v/>
      </c>
      <c r="I134" s="18">
        <f>Data_Feed_Daily!G134</f>
        <v/>
      </c>
      <c r="J134" s="18">
        <f>H134+I134-F134</f>
        <v/>
      </c>
      <c r="K134" s="18">
        <f>IF(J134&lt;Assumptions!$C$10, MIN(Assumptions!$C$10-J134, Assumptions!$C$9-IF(ISNUMBER(M133), M133, Assumptions!$C$15)), 0)</f>
        <v/>
      </c>
      <c r="L134" s="18">
        <f>IF(AND(J134&gt;Assumptions!$C$11, IF(ISNUMBER(M133), M133, Assumptions!$C$15)&gt;0), MIN(J134-Assumptions!$C$11, IF(ISNUMBER(M133), M133, Assumptions!$C$15)), 0)</f>
        <v/>
      </c>
      <c r="M134" s="18">
        <f>IF(ISNUMBER(M133), M133, Assumptions!$C$15)+K134-L134</f>
        <v/>
      </c>
      <c r="N134" s="18">
        <f>ROUND(M134*(Assumptions!$C$19/Assumptions!$C$8), 2)</f>
        <v/>
      </c>
      <c r="O134" s="18">
        <f>J134+K134-L134-N134</f>
        <v/>
      </c>
      <c r="P134" s="18">
        <f>O134+(Assumptions!$C$9-M134)</f>
        <v/>
      </c>
      <c r="Q134" s="18">
        <f>P134-Assumptions!$C$10</f>
        <v/>
      </c>
      <c r="R134" s="21">
        <f>IF(Q134&lt;Assumptions!$C$12, "ALERT TRIGGERED", "COMPLIANT")</f>
        <v/>
      </c>
    </row>
    <row r="135">
      <c r="A135" s="19">
        <f>Data_Feed_Daily!A135</f>
        <v/>
      </c>
      <c r="B135" s="20">
        <f>IF(ISNUMBER(G134), G134, Assumptions!$C$14)</f>
        <v/>
      </c>
      <c r="C135" s="20">
        <f>Data_Feed_Daily!C135</f>
        <v/>
      </c>
      <c r="D135" s="20">
        <f>Data_Feed_Daily!E135-Data_Feed_Daily!F135</f>
        <v/>
      </c>
      <c r="E135" s="20">
        <f>C135-D135-Data_Feed_Daily!D135</f>
        <v/>
      </c>
      <c r="F135" s="20">
        <f>MAX(0, D135-(B135+C135))</f>
        <v/>
      </c>
      <c r="G135" s="20">
        <f>B135+C135-D135+F135</f>
        <v/>
      </c>
      <c r="H135" s="20">
        <f>IF(ISNUMBER(O134), O134, Assumptions!$C$13)</f>
        <v/>
      </c>
      <c r="I135" s="20">
        <f>Data_Feed_Daily!G135</f>
        <v/>
      </c>
      <c r="J135" s="20">
        <f>H135+I135-F135</f>
        <v/>
      </c>
      <c r="K135" s="20">
        <f>IF(J135&lt;Assumptions!$C$10, MIN(Assumptions!$C$10-J135, Assumptions!$C$9-IF(ISNUMBER(M134), M134, Assumptions!$C$15)), 0)</f>
        <v/>
      </c>
      <c r="L135" s="20">
        <f>IF(AND(J135&gt;Assumptions!$C$11, IF(ISNUMBER(M134), M134, Assumptions!$C$15)&gt;0), MIN(J135-Assumptions!$C$11, IF(ISNUMBER(M134), M134, Assumptions!$C$15)), 0)</f>
        <v/>
      </c>
      <c r="M135" s="20">
        <f>IF(ISNUMBER(M134), M134, Assumptions!$C$15)+K135-L135</f>
        <v/>
      </c>
      <c r="N135" s="20">
        <f>ROUND(M135*(Assumptions!$C$19/Assumptions!$C$8), 2)</f>
        <v/>
      </c>
      <c r="O135" s="20">
        <f>J135+K135-L135-N135</f>
        <v/>
      </c>
      <c r="P135" s="20">
        <f>O135+(Assumptions!$C$9-M135)</f>
        <v/>
      </c>
      <c r="Q135" s="20">
        <f>P135-Assumptions!$C$10</f>
        <v/>
      </c>
      <c r="R135" s="22">
        <f>IF(Q135&lt;Assumptions!$C$12, "ALERT TRIGGERED", "COMPLIANT")</f>
        <v/>
      </c>
    </row>
    <row r="136">
      <c r="A136" s="17">
        <f>Data_Feed_Daily!A136</f>
        <v/>
      </c>
      <c r="B136" s="18">
        <f>IF(ISNUMBER(G135), G135, Assumptions!$C$14)</f>
        <v/>
      </c>
      <c r="C136" s="18">
        <f>Data_Feed_Daily!C136</f>
        <v/>
      </c>
      <c r="D136" s="18">
        <f>Data_Feed_Daily!E136-Data_Feed_Daily!F136</f>
        <v/>
      </c>
      <c r="E136" s="18">
        <f>C136-D136-Data_Feed_Daily!D136</f>
        <v/>
      </c>
      <c r="F136" s="18">
        <f>MAX(0, D136-(B136+C136))</f>
        <v/>
      </c>
      <c r="G136" s="18">
        <f>B136+C136-D136+F136</f>
        <v/>
      </c>
      <c r="H136" s="18">
        <f>IF(ISNUMBER(O135), O135, Assumptions!$C$13)</f>
        <v/>
      </c>
      <c r="I136" s="18">
        <f>Data_Feed_Daily!G136</f>
        <v/>
      </c>
      <c r="J136" s="18">
        <f>H136+I136-F136</f>
        <v/>
      </c>
      <c r="K136" s="18">
        <f>IF(J136&lt;Assumptions!$C$10, MIN(Assumptions!$C$10-J136, Assumptions!$C$9-IF(ISNUMBER(M135), M135, Assumptions!$C$15)), 0)</f>
        <v/>
      </c>
      <c r="L136" s="18">
        <f>IF(AND(J136&gt;Assumptions!$C$11, IF(ISNUMBER(M135), M135, Assumptions!$C$15)&gt;0), MIN(J136-Assumptions!$C$11, IF(ISNUMBER(M135), M135, Assumptions!$C$15)), 0)</f>
        <v/>
      </c>
      <c r="M136" s="18">
        <f>IF(ISNUMBER(M135), M135, Assumptions!$C$15)+K136-L136</f>
        <v/>
      </c>
      <c r="N136" s="18">
        <f>ROUND(M136*(Assumptions!$C$19/Assumptions!$C$8), 2)</f>
        <v/>
      </c>
      <c r="O136" s="18">
        <f>J136+K136-L136-N136</f>
        <v/>
      </c>
      <c r="P136" s="18">
        <f>O136+(Assumptions!$C$9-M136)</f>
        <v/>
      </c>
      <c r="Q136" s="18">
        <f>P136-Assumptions!$C$10</f>
        <v/>
      </c>
      <c r="R136" s="21">
        <f>IF(Q136&lt;Assumptions!$C$12, "ALERT TRIGGERED", "COMPLIANT")</f>
        <v/>
      </c>
    </row>
    <row r="137">
      <c r="A137" s="19">
        <f>Data_Feed_Daily!A137</f>
        <v/>
      </c>
      <c r="B137" s="20">
        <f>IF(ISNUMBER(G136), G136, Assumptions!$C$14)</f>
        <v/>
      </c>
      <c r="C137" s="20">
        <f>Data_Feed_Daily!C137</f>
        <v/>
      </c>
      <c r="D137" s="20">
        <f>Data_Feed_Daily!E137-Data_Feed_Daily!F137</f>
        <v/>
      </c>
      <c r="E137" s="20">
        <f>C137-D137-Data_Feed_Daily!D137</f>
        <v/>
      </c>
      <c r="F137" s="20">
        <f>MAX(0, D137-(B137+C137))</f>
        <v/>
      </c>
      <c r="G137" s="20">
        <f>B137+C137-D137+F137</f>
        <v/>
      </c>
      <c r="H137" s="20">
        <f>IF(ISNUMBER(O136), O136, Assumptions!$C$13)</f>
        <v/>
      </c>
      <c r="I137" s="20">
        <f>Data_Feed_Daily!G137</f>
        <v/>
      </c>
      <c r="J137" s="20">
        <f>H137+I137-F137</f>
        <v/>
      </c>
      <c r="K137" s="20">
        <f>IF(J137&lt;Assumptions!$C$10, MIN(Assumptions!$C$10-J137, Assumptions!$C$9-IF(ISNUMBER(M136), M136, Assumptions!$C$15)), 0)</f>
        <v/>
      </c>
      <c r="L137" s="20">
        <f>IF(AND(J137&gt;Assumptions!$C$11, IF(ISNUMBER(M136), M136, Assumptions!$C$15)&gt;0), MIN(J137-Assumptions!$C$11, IF(ISNUMBER(M136), M136, Assumptions!$C$15)), 0)</f>
        <v/>
      </c>
      <c r="M137" s="20">
        <f>IF(ISNUMBER(M136), M136, Assumptions!$C$15)+K137-L137</f>
        <v/>
      </c>
      <c r="N137" s="20">
        <f>ROUND(M137*(Assumptions!$C$19/Assumptions!$C$8), 2)</f>
        <v/>
      </c>
      <c r="O137" s="20">
        <f>J137+K137-L137-N137</f>
        <v/>
      </c>
      <c r="P137" s="20">
        <f>O137+(Assumptions!$C$9-M137)</f>
        <v/>
      </c>
      <c r="Q137" s="20">
        <f>P137-Assumptions!$C$10</f>
        <v/>
      </c>
      <c r="R137" s="22">
        <f>IF(Q137&lt;Assumptions!$C$12, "ALERT TRIGGERED", "COMPLIANT")</f>
        <v/>
      </c>
    </row>
    <row r="138">
      <c r="A138" s="17">
        <f>Data_Feed_Daily!A138</f>
        <v/>
      </c>
      <c r="B138" s="18">
        <f>IF(ISNUMBER(G137), G137, Assumptions!$C$14)</f>
        <v/>
      </c>
      <c r="C138" s="18">
        <f>Data_Feed_Daily!C138</f>
        <v/>
      </c>
      <c r="D138" s="18">
        <f>Data_Feed_Daily!E138-Data_Feed_Daily!F138</f>
        <v/>
      </c>
      <c r="E138" s="18">
        <f>C138-D138-Data_Feed_Daily!D138</f>
        <v/>
      </c>
      <c r="F138" s="18">
        <f>MAX(0, D138-(B138+C138))</f>
        <v/>
      </c>
      <c r="G138" s="18">
        <f>B138+C138-D138+F138</f>
        <v/>
      </c>
      <c r="H138" s="18">
        <f>IF(ISNUMBER(O137), O137, Assumptions!$C$13)</f>
        <v/>
      </c>
      <c r="I138" s="18">
        <f>Data_Feed_Daily!G138</f>
        <v/>
      </c>
      <c r="J138" s="18">
        <f>H138+I138-F138</f>
        <v/>
      </c>
      <c r="K138" s="18">
        <f>IF(J138&lt;Assumptions!$C$10, MIN(Assumptions!$C$10-J138, Assumptions!$C$9-IF(ISNUMBER(M137), M137, Assumptions!$C$15)), 0)</f>
        <v/>
      </c>
      <c r="L138" s="18">
        <f>IF(AND(J138&gt;Assumptions!$C$11, IF(ISNUMBER(M137), M137, Assumptions!$C$15)&gt;0), MIN(J138-Assumptions!$C$11, IF(ISNUMBER(M137), M137, Assumptions!$C$15)), 0)</f>
        <v/>
      </c>
      <c r="M138" s="18">
        <f>IF(ISNUMBER(M137), M137, Assumptions!$C$15)+K138-L138</f>
        <v/>
      </c>
      <c r="N138" s="18">
        <f>ROUND(M138*(Assumptions!$C$19/Assumptions!$C$8), 2)</f>
        <v/>
      </c>
      <c r="O138" s="18">
        <f>J138+K138-L138-N138</f>
        <v/>
      </c>
      <c r="P138" s="18">
        <f>O138+(Assumptions!$C$9-M138)</f>
        <v/>
      </c>
      <c r="Q138" s="18">
        <f>P138-Assumptions!$C$10</f>
        <v/>
      </c>
      <c r="R138" s="21">
        <f>IF(Q138&lt;Assumptions!$C$12, "ALERT TRIGGERED", "COMPLIANT")</f>
        <v/>
      </c>
    </row>
    <row r="139">
      <c r="A139" s="19">
        <f>Data_Feed_Daily!A139</f>
        <v/>
      </c>
      <c r="B139" s="20">
        <f>IF(ISNUMBER(G138), G138, Assumptions!$C$14)</f>
        <v/>
      </c>
      <c r="C139" s="20">
        <f>Data_Feed_Daily!C139</f>
        <v/>
      </c>
      <c r="D139" s="20">
        <f>Data_Feed_Daily!E139-Data_Feed_Daily!F139</f>
        <v/>
      </c>
      <c r="E139" s="20">
        <f>C139-D139-Data_Feed_Daily!D139</f>
        <v/>
      </c>
      <c r="F139" s="20">
        <f>MAX(0, D139-(B139+C139))</f>
        <v/>
      </c>
      <c r="G139" s="20">
        <f>B139+C139-D139+F139</f>
        <v/>
      </c>
      <c r="H139" s="20">
        <f>IF(ISNUMBER(O138), O138, Assumptions!$C$13)</f>
        <v/>
      </c>
      <c r="I139" s="20">
        <f>Data_Feed_Daily!G139</f>
        <v/>
      </c>
      <c r="J139" s="20">
        <f>H139+I139-F139</f>
        <v/>
      </c>
      <c r="K139" s="20">
        <f>IF(J139&lt;Assumptions!$C$10, MIN(Assumptions!$C$10-J139, Assumptions!$C$9-IF(ISNUMBER(M138), M138, Assumptions!$C$15)), 0)</f>
        <v/>
      </c>
      <c r="L139" s="20">
        <f>IF(AND(J139&gt;Assumptions!$C$11, IF(ISNUMBER(M138), M138, Assumptions!$C$15)&gt;0), MIN(J139-Assumptions!$C$11, IF(ISNUMBER(M138), M138, Assumptions!$C$15)), 0)</f>
        <v/>
      </c>
      <c r="M139" s="20">
        <f>IF(ISNUMBER(M138), M138, Assumptions!$C$15)+K139-L139</f>
        <v/>
      </c>
      <c r="N139" s="20">
        <f>ROUND(M139*(Assumptions!$C$19/Assumptions!$C$8), 2)</f>
        <v/>
      </c>
      <c r="O139" s="20">
        <f>J139+K139-L139-N139</f>
        <v/>
      </c>
      <c r="P139" s="20">
        <f>O139+(Assumptions!$C$9-M139)</f>
        <v/>
      </c>
      <c r="Q139" s="20">
        <f>P139-Assumptions!$C$10</f>
        <v/>
      </c>
      <c r="R139" s="22">
        <f>IF(Q139&lt;Assumptions!$C$12, "ALERT TRIGGERED", "COMPLIANT")</f>
        <v/>
      </c>
    </row>
    <row r="140">
      <c r="A140" s="17">
        <f>Data_Feed_Daily!A140</f>
        <v/>
      </c>
      <c r="B140" s="18">
        <f>IF(ISNUMBER(G139), G139, Assumptions!$C$14)</f>
        <v/>
      </c>
      <c r="C140" s="18">
        <f>Data_Feed_Daily!C140</f>
        <v/>
      </c>
      <c r="D140" s="18">
        <f>Data_Feed_Daily!E140-Data_Feed_Daily!F140</f>
        <v/>
      </c>
      <c r="E140" s="18">
        <f>C140-D140-Data_Feed_Daily!D140</f>
        <v/>
      </c>
      <c r="F140" s="18">
        <f>MAX(0, D140-(B140+C140))</f>
        <v/>
      </c>
      <c r="G140" s="18">
        <f>B140+C140-D140+F140</f>
        <v/>
      </c>
      <c r="H140" s="18">
        <f>IF(ISNUMBER(O139), O139, Assumptions!$C$13)</f>
        <v/>
      </c>
      <c r="I140" s="18">
        <f>Data_Feed_Daily!G140</f>
        <v/>
      </c>
      <c r="J140" s="18">
        <f>H140+I140-F140</f>
        <v/>
      </c>
      <c r="K140" s="18">
        <f>IF(J140&lt;Assumptions!$C$10, MIN(Assumptions!$C$10-J140, Assumptions!$C$9-IF(ISNUMBER(M139), M139, Assumptions!$C$15)), 0)</f>
        <v/>
      </c>
      <c r="L140" s="18">
        <f>IF(AND(J140&gt;Assumptions!$C$11, IF(ISNUMBER(M139), M139, Assumptions!$C$15)&gt;0), MIN(J140-Assumptions!$C$11, IF(ISNUMBER(M139), M139, Assumptions!$C$15)), 0)</f>
        <v/>
      </c>
      <c r="M140" s="18">
        <f>IF(ISNUMBER(M139), M139, Assumptions!$C$15)+K140-L140</f>
        <v/>
      </c>
      <c r="N140" s="18">
        <f>ROUND(M140*(Assumptions!$C$19/Assumptions!$C$8), 2)</f>
        <v/>
      </c>
      <c r="O140" s="18">
        <f>J140+K140-L140-N140</f>
        <v/>
      </c>
      <c r="P140" s="18">
        <f>O140+(Assumptions!$C$9-M140)</f>
        <v/>
      </c>
      <c r="Q140" s="18">
        <f>P140-Assumptions!$C$10</f>
        <v/>
      </c>
      <c r="R140" s="21">
        <f>IF(Q140&lt;Assumptions!$C$12, "ALERT TRIGGERED", "COMPLIANT")</f>
        <v/>
      </c>
    </row>
    <row r="141">
      <c r="A141" s="19">
        <f>Data_Feed_Daily!A141</f>
        <v/>
      </c>
      <c r="B141" s="20">
        <f>IF(ISNUMBER(G140), G140, Assumptions!$C$14)</f>
        <v/>
      </c>
      <c r="C141" s="20">
        <f>Data_Feed_Daily!C141</f>
        <v/>
      </c>
      <c r="D141" s="20">
        <f>Data_Feed_Daily!E141-Data_Feed_Daily!F141</f>
        <v/>
      </c>
      <c r="E141" s="20">
        <f>C141-D141-Data_Feed_Daily!D141</f>
        <v/>
      </c>
      <c r="F141" s="20">
        <f>MAX(0, D141-(B141+C141))</f>
        <v/>
      </c>
      <c r="G141" s="20">
        <f>B141+C141-D141+F141</f>
        <v/>
      </c>
      <c r="H141" s="20">
        <f>IF(ISNUMBER(O140), O140, Assumptions!$C$13)</f>
        <v/>
      </c>
      <c r="I141" s="20">
        <f>Data_Feed_Daily!G141</f>
        <v/>
      </c>
      <c r="J141" s="20">
        <f>H141+I141-F141</f>
        <v/>
      </c>
      <c r="K141" s="20">
        <f>IF(J141&lt;Assumptions!$C$10, MIN(Assumptions!$C$10-J141, Assumptions!$C$9-IF(ISNUMBER(M140), M140, Assumptions!$C$15)), 0)</f>
        <v/>
      </c>
      <c r="L141" s="20">
        <f>IF(AND(J141&gt;Assumptions!$C$11, IF(ISNUMBER(M140), M140, Assumptions!$C$15)&gt;0), MIN(J141-Assumptions!$C$11, IF(ISNUMBER(M140), M140, Assumptions!$C$15)), 0)</f>
        <v/>
      </c>
      <c r="M141" s="20">
        <f>IF(ISNUMBER(M140), M140, Assumptions!$C$15)+K141-L141</f>
        <v/>
      </c>
      <c r="N141" s="20">
        <f>ROUND(M141*(Assumptions!$C$19/Assumptions!$C$8), 2)</f>
        <v/>
      </c>
      <c r="O141" s="20">
        <f>J141+K141-L141-N141</f>
        <v/>
      </c>
      <c r="P141" s="20">
        <f>O141+(Assumptions!$C$9-M141)</f>
        <v/>
      </c>
      <c r="Q141" s="20">
        <f>P141-Assumptions!$C$10</f>
        <v/>
      </c>
      <c r="R141" s="22">
        <f>IF(Q141&lt;Assumptions!$C$12, "ALERT TRIGGERED", "COMPLIANT")</f>
        <v/>
      </c>
    </row>
    <row r="142">
      <c r="A142" s="17">
        <f>Data_Feed_Daily!A142</f>
        <v/>
      </c>
      <c r="B142" s="18">
        <f>IF(ISNUMBER(G141), G141, Assumptions!$C$14)</f>
        <v/>
      </c>
      <c r="C142" s="18">
        <f>Data_Feed_Daily!C142</f>
        <v/>
      </c>
      <c r="D142" s="18">
        <f>Data_Feed_Daily!E142-Data_Feed_Daily!F142</f>
        <v/>
      </c>
      <c r="E142" s="18">
        <f>C142-D142-Data_Feed_Daily!D142</f>
        <v/>
      </c>
      <c r="F142" s="18">
        <f>MAX(0, D142-(B142+C142))</f>
        <v/>
      </c>
      <c r="G142" s="18">
        <f>B142+C142-D142+F142</f>
        <v/>
      </c>
      <c r="H142" s="18">
        <f>IF(ISNUMBER(O141), O141, Assumptions!$C$13)</f>
        <v/>
      </c>
      <c r="I142" s="18">
        <f>Data_Feed_Daily!G142</f>
        <v/>
      </c>
      <c r="J142" s="18">
        <f>H142+I142-F142</f>
        <v/>
      </c>
      <c r="K142" s="18">
        <f>IF(J142&lt;Assumptions!$C$10, MIN(Assumptions!$C$10-J142, Assumptions!$C$9-IF(ISNUMBER(M141), M141, Assumptions!$C$15)), 0)</f>
        <v/>
      </c>
      <c r="L142" s="18">
        <f>IF(AND(J142&gt;Assumptions!$C$11, IF(ISNUMBER(M141), M141, Assumptions!$C$15)&gt;0), MIN(J142-Assumptions!$C$11, IF(ISNUMBER(M141), M141, Assumptions!$C$15)), 0)</f>
        <v/>
      </c>
      <c r="M142" s="18">
        <f>IF(ISNUMBER(M141), M141, Assumptions!$C$15)+K142-L142</f>
        <v/>
      </c>
      <c r="N142" s="18">
        <f>ROUND(M142*(Assumptions!$C$19/Assumptions!$C$8), 2)</f>
        <v/>
      </c>
      <c r="O142" s="18">
        <f>J142+K142-L142-N142</f>
        <v/>
      </c>
      <c r="P142" s="18">
        <f>O142+(Assumptions!$C$9-M142)</f>
        <v/>
      </c>
      <c r="Q142" s="18">
        <f>P142-Assumptions!$C$10</f>
        <v/>
      </c>
      <c r="R142" s="21">
        <f>IF(Q142&lt;Assumptions!$C$12, "ALERT TRIGGERED", "COMPLIANT")</f>
        <v/>
      </c>
    </row>
    <row r="143">
      <c r="A143" s="19">
        <f>Data_Feed_Daily!A143</f>
        <v/>
      </c>
      <c r="B143" s="20">
        <f>IF(ISNUMBER(G142), G142, Assumptions!$C$14)</f>
        <v/>
      </c>
      <c r="C143" s="20">
        <f>Data_Feed_Daily!C143</f>
        <v/>
      </c>
      <c r="D143" s="20">
        <f>Data_Feed_Daily!E143-Data_Feed_Daily!F143</f>
        <v/>
      </c>
      <c r="E143" s="20">
        <f>C143-D143-Data_Feed_Daily!D143</f>
        <v/>
      </c>
      <c r="F143" s="20">
        <f>MAX(0, D143-(B143+C143))</f>
        <v/>
      </c>
      <c r="G143" s="20">
        <f>B143+C143-D143+F143</f>
        <v/>
      </c>
      <c r="H143" s="20">
        <f>IF(ISNUMBER(O142), O142, Assumptions!$C$13)</f>
        <v/>
      </c>
      <c r="I143" s="20">
        <f>Data_Feed_Daily!G143</f>
        <v/>
      </c>
      <c r="J143" s="20">
        <f>H143+I143-F143</f>
        <v/>
      </c>
      <c r="K143" s="20">
        <f>IF(J143&lt;Assumptions!$C$10, MIN(Assumptions!$C$10-J143, Assumptions!$C$9-IF(ISNUMBER(M142), M142, Assumptions!$C$15)), 0)</f>
        <v/>
      </c>
      <c r="L143" s="20">
        <f>IF(AND(J143&gt;Assumptions!$C$11, IF(ISNUMBER(M142), M142, Assumptions!$C$15)&gt;0), MIN(J143-Assumptions!$C$11, IF(ISNUMBER(M142), M142, Assumptions!$C$15)), 0)</f>
        <v/>
      </c>
      <c r="M143" s="20">
        <f>IF(ISNUMBER(M142), M142, Assumptions!$C$15)+K143-L143</f>
        <v/>
      </c>
      <c r="N143" s="20">
        <f>ROUND(M143*(Assumptions!$C$19/Assumptions!$C$8), 2)</f>
        <v/>
      </c>
      <c r="O143" s="20">
        <f>J143+K143-L143-N143</f>
        <v/>
      </c>
      <c r="P143" s="20">
        <f>O143+(Assumptions!$C$9-M143)</f>
        <v/>
      </c>
      <c r="Q143" s="20">
        <f>P143-Assumptions!$C$10</f>
        <v/>
      </c>
      <c r="R143" s="22">
        <f>IF(Q143&lt;Assumptions!$C$12, "ALERT TRIGGERED", "COMPLIANT")</f>
        <v/>
      </c>
    </row>
    <row r="144">
      <c r="A144" s="17">
        <f>Data_Feed_Daily!A144</f>
        <v/>
      </c>
      <c r="B144" s="18">
        <f>IF(ISNUMBER(G143), G143, Assumptions!$C$14)</f>
        <v/>
      </c>
      <c r="C144" s="18">
        <f>Data_Feed_Daily!C144</f>
        <v/>
      </c>
      <c r="D144" s="18">
        <f>Data_Feed_Daily!E144-Data_Feed_Daily!F144</f>
        <v/>
      </c>
      <c r="E144" s="18">
        <f>C144-D144-Data_Feed_Daily!D144</f>
        <v/>
      </c>
      <c r="F144" s="18">
        <f>MAX(0, D144-(B144+C144))</f>
        <v/>
      </c>
      <c r="G144" s="18">
        <f>B144+C144-D144+F144</f>
        <v/>
      </c>
      <c r="H144" s="18">
        <f>IF(ISNUMBER(O143), O143, Assumptions!$C$13)</f>
        <v/>
      </c>
      <c r="I144" s="18">
        <f>Data_Feed_Daily!G144</f>
        <v/>
      </c>
      <c r="J144" s="18">
        <f>H144+I144-F144</f>
        <v/>
      </c>
      <c r="K144" s="18">
        <f>IF(J144&lt;Assumptions!$C$10, MIN(Assumptions!$C$10-J144, Assumptions!$C$9-IF(ISNUMBER(M143), M143, Assumptions!$C$15)), 0)</f>
        <v/>
      </c>
      <c r="L144" s="18">
        <f>IF(AND(J144&gt;Assumptions!$C$11, IF(ISNUMBER(M143), M143, Assumptions!$C$15)&gt;0), MIN(J144-Assumptions!$C$11, IF(ISNUMBER(M143), M143, Assumptions!$C$15)), 0)</f>
        <v/>
      </c>
      <c r="M144" s="18">
        <f>IF(ISNUMBER(M143), M143, Assumptions!$C$15)+K144-L144</f>
        <v/>
      </c>
      <c r="N144" s="18">
        <f>ROUND(M144*(Assumptions!$C$19/Assumptions!$C$8), 2)</f>
        <v/>
      </c>
      <c r="O144" s="18">
        <f>J144+K144-L144-N144</f>
        <v/>
      </c>
      <c r="P144" s="18">
        <f>O144+(Assumptions!$C$9-M144)</f>
        <v/>
      </c>
      <c r="Q144" s="18">
        <f>P144-Assumptions!$C$10</f>
        <v/>
      </c>
      <c r="R144" s="21">
        <f>IF(Q144&lt;Assumptions!$C$12, "ALERT TRIGGERED", "COMPLIANT")</f>
        <v/>
      </c>
    </row>
    <row r="145">
      <c r="A145" s="19">
        <f>Data_Feed_Daily!A145</f>
        <v/>
      </c>
      <c r="B145" s="20">
        <f>IF(ISNUMBER(G144), G144, Assumptions!$C$14)</f>
        <v/>
      </c>
      <c r="C145" s="20">
        <f>Data_Feed_Daily!C145</f>
        <v/>
      </c>
      <c r="D145" s="20">
        <f>Data_Feed_Daily!E145-Data_Feed_Daily!F145</f>
        <v/>
      </c>
      <c r="E145" s="20">
        <f>C145-D145-Data_Feed_Daily!D145</f>
        <v/>
      </c>
      <c r="F145" s="20">
        <f>MAX(0, D145-(B145+C145))</f>
        <v/>
      </c>
      <c r="G145" s="20">
        <f>B145+C145-D145+F145</f>
        <v/>
      </c>
      <c r="H145" s="20">
        <f>IF(ISNUMBER(O144), O144, Assumptions!$C$13)</f>
        <v/>
      </c>
      <c r="I145" s="20">
        <f>Data_Feed_Daily!G145</f>
        <v/>
      </c>
      <c r="J145" s="20">
        <f>H145+I145-F145</f>
        <v/>
      </c>
      <c r="K145" s="20">
        <f>IF(J145&lt;Assumptions!$C$10, MIN(Assumptions!$C$10-J145, Assumptions!$C$9-IF(ISNUMBER(M144), M144, Assumptions!$C$15)), 0)</f>
        <v/>
      </c>
      <c r="L145" s="20">
        <f>IF(AND(J145&gt;Assumptions!$C$11, IF(ISNUMBER(M144), M144, Assumptions!$C$15)&gt;0), MIN(J145-Assumptions!$C$11, IF(ISNUMBER(M144), M144, Assumptions!$C$15)), 0)</f>
        <v/>
      </c>
      <c r="M145" s="20">
        <f>IF(ISNUMBER(M144), M144, Assumptions!$C$15)+K145-L145</f>
        <v/>
      </c>
      <c r="N145" s="20">
        <f>ROUND(M145*(Assumptions!$C$19/Assumptions!$C$8), 2)</f>
        <v/>
      </c>
      <c r="O145" s="20">
        <f>J145+K145-L145-N145</f>
        <v/>
      </c>
      <c r="P145" s="20">
        <f>O145+(Assumptions!$C$9-M145)</f>
        <v/>
      </c>
      <c r="Q145" s="20">
        <f>P145-Assumptions!$C$10</f>
        <v/>
      </c>
      <c r="R145" s="22">
        <f>IF(Q145&lt;Assumptions!$C$12, "ALERT TRIGGERED", "COMPLIANT")</f>
        <v/>
      </c>
    </row>
    <row r="146">
      <c r="A146" s="17">
        <f>Data_Feed_Daily!A146</f>
        <v/>
      </c>
      <c r="B146" s="18">
        <f>IF(ISNUMBER(G145), G145, Assumptions!$C$14)</f>
        <v/>
      </c>
      <c r="C146" s="18">
        <f>Data_Feed_Daily!C146</f>
        <v/>
      </c>
      <c r="D146" s="18">
        <f>Data_Feed_Daily!E146-Data_Feed_Daily!F146</f>
        <v/>
      </c>
      <c r="E146" s="18">
        <f>C146-D146-Data_Feed_Daily!D146</f>
        <v/>
      </c>
      <c r="F146" s="18">
        <f>MAX(0, D146-(B146+C146))</f>
        <v/>
      </c>
      <c r="G146" s="18">
        <f>B146+C146-D146+F146</f>
        <v/>
      </c>
      <c r="H146" s="18">
        <f>IF(ISNUMBER(O145), O145, Assumptions!$C$13)</f>
        <v/>
      </c>
      <c r="I146" s="18">
        <f>Data_Feed_Daily!G146</f>
        <v/>
      </c>
      <c r="J146" s="18">
        <f>H146+I146-F146</f>
        <v/>
      </c>
      <c r="K146" s="18">
        <f>IF(J146&lt;Assumptions!$C$10, MIN(Assumptions!$C$10-J146, Assumptions!$C$9-IF(ISNUMBER(M145), M145, Assumptions!$C$15)), 0)</f>
        <v/>
      </c>
      <c r="L146" s="18">
        <f>IF(AND(J146&gt;Assumptions!$C$11, IF(ISNUMBER(M145), M145, Assumptions!$C$15)&gt;0), MIN(J146-Assumptions!$C$11, IF(ISNUMBER(M145), M145, Assumptions!$C$15)), 0)</f>
        <v/>
      </c>
      <c r="M146" s="18">
        <f>IF(ISNUMBER(M145), M145, Assumptions!$C$15)+K146-L146</f>
        <v/>
      </c>
      <c r="N146" s="18">
        <f>ROUND(M146*(Assumptions!$C$19/Assumptions!$C$8), 2)</f>
        <v/>
      </c>
      <c r="O146" s="18">
        <f>J146+K146-L146-N146</f>
        <v/>
      </c>
      <c r="P146" s="18">
        <f>O146+(Assumptions!$C$9-M146)</f>
        <v/>
      </c>
      <c r="Q146" s="18">
        <f>P146-Assumptions!$C$10</f>
        <v/>
      </c>
      <c r="R146" s="21">
        <f>IF(Q146&lt;Assumptions!$C$12, "ALERT TRIGGERED", "COMPLIANT")</f>
        <v/>
      </c>
    </row>
    <row r="147">
      <c r="A147" s="19">
        <f>Data_Feed_Daily!A147</f>
        <v/>
      </c>
      <c r="B147" s="20">
        <f>IF(ISNUMBER(G146), G146, Assumptions!$C$14)</f>
        <v/>
      </c>
      <c r="C147" s="20">
        <f>Data_Feed_Daily!C147</f>
        <v/>
      </c>
      <c r="D147" s="20">
        <f>Data_Feed_Daily!E147-Data_Feed_Daily!F147</f>
        <v/>
      </c>
      <c r="E147" s="20">
        <f>C147-D147-Data_Feed_Daily!D147</f>
        <v/>
      </c>
      <c r="F147" s="20">
        <f>MAX(0, D147-(B147+C147))</f>
        <v/>
      </c>
      <c r="G147" s="20">
        <f>B147+C147-D147+F147</f>
        <v/>
      </c>
      <c r="H147" s="20">
        <f>IF(ISNUMBER(O146), O146, Assumptions!$C$13)</f>
        <v/>
      </c>
      <c r="I147" s="20">
        <f>Data_Feed_Daily!G147</f>
        <v/>
      </c>
      <c r="J147" s="20">
        <f>H147+I147-F147</f>
        <v/>
      </c>
      <c r="K147" s="20">
        <f>IF(J147&lt;Assumptions!$C$10, MIN(Assumptions!$C$10-J147, Assumptions!$C$9-IF(ISNUMBER(M146), M146, Assumptions!$C$15)), 0)</f>
        <v/>
      </c>
      <c r="L147" s="20">
        <f>IF(AND(J147&gt;Assumptions!$C$11, IF(ISNUMBER(M146), M146, Assumptions!$C$15)&gt;0), MIN(J147-Assumptions!$C$11, IF(ISNUMBER(M146), M146, Assumptions!$C$15)), 0)</f>
        <v/>
      </c>
      <c r="M147" s="20">
        <f>IF(ISNUMBER(M146), M146, Assumptions!$C$15)+K147-L147</f>
        <v/>
      </c>
      <c r="N147" s="20">
        <f>ROUND(M147*(Assumptions!$C$19/Assumptions!$C$8), 2)</f>
        <v/>
      </c>
      <c r="O147" s="20">
        <f>J147+K147-L147-N147</f>
        <v/>
      </c>
      <c r="P147" s="20">
        <f>O147+(Assumptions!$C$9-M147)</f>
        <v/>
      </c>
      <c r="Q147" s="20">
        <f>P147-Assumptions!$C$10</f>
        <v/>
      </c>
      <c r="R147" s="22">
        <f>IF(Q147&lt;Assumptions!$C$12, "ALERT TRIGGERED", "COMPLIANT")</f>
        <v/>
      </c>
    </row>
    <row r="148">
      <c r="A148" s="17">
        <f>Data_Feed_Daily!A148</f>
        <v/>
      </c>
      <c r="B148" s="18">
        <f>IF(ISNUMBER(G147), G147, Assumptions!$C$14)</f>
        <v/>
      </c>
      <c r="C148" s="18">
        <f>Data_Feed_Daily!C148</f>
        <v/>
      </c>
      <c r="D148" s="18">
        <f>Data_Feed_Daily!E148-Data_Feed_Daily!F148</f>
        <v/>
      </c>
      <c r="E148" s="18">
        <f>C148-D148-Data_Feed_Daily!D148</f>
        <v/>
      </c>
      <c r="F148" s="18">
        <f>MAX(0, D148-(B148+C148))</f>
        <v/>
      </c>
      <c r="G148" s="18">
        <f>B148+C148-D148+F148</f>
        <v/>
      </c>
      <c r="H148" s="18">
        <f>IF(ISNUMBER(O147), O147, Assumptions!$C$13)</f>
        <v/>
      </c>
      <c r="I148" s="18">
        <f>Data_Feed_Daily!G148</f>
        <v/>
      </c>
      <c r="J148" s="18">
        <f>H148+I148-F148</f>
        <v/>
      </c>
      <c r="K148" s="18">
        <f>IF(J148&lt;Assumptions!$C$10, MIN(Assumptions!$C$10-J148, Assumptions!$C$9-IF(ISNUMBER(M147), M147, Assumptions!$C$15)), 0)</f>
        <v/>
      </c>
      <c r="L148" s="18">
        <f>IF(AND(J148&gt;Assumptions!$C$11, IF(ISNUMBER(M147), M147, Assumptions!$C$15)&gt;0), MIN(J148-Assumptions!$C$11, IF(ISNUMBER(M147), M147, Assumptions!$C$15)), 0)</f>
        <v/>
      </c>
      <c r="M148" s="18">
        <f>IF(ISNUMBER(M147), M147, Assumptions!$C$15)+K148-L148</f>
        <v/>
      </c>
      <c r="N148" s="18">
        <f>ROUND(M148*(Assumptions!$C$19/Assumptions!$C$8), 2)</f>
        <v/>
      </c>
      <c r="O148" s="18">
        <f>J148+K148-L148-N148</f>
        <v/>
      </c>
      <c r="P148" s="18">
        <f>O148+(Assumptions!$C$9-M148)</f>
        <v/>
      </c>
      <c r="Q148" s="18">
        <f>P148-Assumptions!$C$10</f>
        <v/>
      </c>
      <c r="R148" s="21">
        <f>IF(Q148&lt;Assumptions!$C$12, "ALERT TRIGGERED", "COMPLIANT")</f>
        <v/>
      </c>
    </row>
    <row r="149">
      <c r="A149" s="19">
        <f>Data_Feed_Daily!A149</f>
        <v/>
      </c>
      <c r="B149" s="20">
        <f>IF(ISNUMBER(G148), G148, Assumptions!$C$14)</f>
        <v/>
      </c>
      <c r="C149" s="20">
        <f>Data_Feed_Daily!C149</f>
        <v/>
      </c>
      <c r="D149" s="20">
        <f>Data_Feed_Daily!E149-Data_Feed_Daily!F149</f>
        <v/>
      </c>
      <c r="E149" s="20">
        <f>C149-D149-Data_Feed_Daily!D149</f>
        <v/>
      </c>
      <c r="F149" s="20">
        <f>MAX(0, D149-(B149+C149))</f>
        <v/>
      </c>
      <c r="G149" s="20">
        <f>B149+C149-D149+F149</f>
        <v/>
      </c>
      <c r="H149" s="20">
        <f>IF(ISNUMBER(O148), O148, Assumptions!$C$13)</f>
        <v/>
      </c>
      <c r="I149" s="20">
        <f>Data_Feed_Daily!G149</f>
        <v/>
      </c>
      <c r="J149" s="20">
        <f>H149+I149-F149</f>
        <v/>
      </c>
      <c r="K149" s="20">
        <f>IF(J149&lt;Assumptions!$C$10, MIN(Assumptions!$C$10-J149, Assumptions!$C$9-IF(ISNUMBER(M148), M148, Assumptions!$C$15)), 0)</f>
        <v/>
      </c>
      <c r="L149" s="20">
        <f>IF(AND(J149&gt;Assumptions!$C$11, IF(ISNUMBER(M148), M148, Assumptions!$C$15)&gt;0), MIN(J149-Assumptions!$C$11, IF(ISNUMBER(M148), M148, Assumptions!$C$15)), 0)</f>
        <v/>
      </c>
      <c r="M149" s="20">
        <f>IF(ISNUMBER(M148), M148, Assumptions!$C$15)+K149-L149</f>
        <v/>
      </c>
      <c r="N149" s="20">
        <f>ROUND(M149*(Assumptions!$C$19/Assumptions!$C$8), 2)</f>
        <v/>
      </c>
      <c r="O149" s="20">
        <f>J149+K149-L149-N149</f>
        <v/>
      </c>
      <c r="P149" s="20">
        <f>O149+(Assumptions!$C$9-M149)</f>
        <v/>
      </c>
      <c r="Q149" s="20">
        <f>P149-Assumptions!$C$10</f>
        <v/>
      </c>
      <c r="R149" s="22">
        <f>IF(Q149&lt;Assumptions!$C$12, "ALERT TRIGGERED", "COMPLIANT")</f>
        <v/>
      </c>
    </row>
    <row r="150">
      <c r="A150" s="17">
        <f>Data_Feed_Daily!A150</f>
        <v/>
      </c>
      <c r="B150" s="18">
        <f>IF(ISNUMBER(G149), G149, Assumptions!$C$14)</f>
        <v/>
      </c>
      <c r="C150" s="18">
        <f>Data_Feed_Daily!C150</f>
        <v/>
      </c>
      <c r="D150" s="18">
        <f>Data_Feed_Daily!E150-Data_Feed_Daily!F150</f>
        <v/>
      </c>
      <c r="E150" s="18">
        <f>C150-D150-Data_Feed_Daily!D150</f>
        <v/>
      </c>
      <c r="F150" s="18">
        <f>MAX(0, D150-(B150+C150))</f>
        <v/>
      </c>
      <c r="G150" s="18">
        <f>B150+C150-D150+F150</f>
        <v/>
      </c>
      <c r="H150" s="18">
        <f>IF(ISNUMBER(O149), O149, Assumptions!$C$13)</f>
        <v/>
      </c>
      <c r="I150" s="18">
        <f>Data_Feed_Daily!G150</f>
        <v/>
      </c>
      <c r="J150" s="18">
        <f>H150+I150-F150</f>
        <v/>
      </c>
      <c r="K150" s="18">
        <f>IF(J150&lt;Assumptions!$C$10, MIN(Assumptions!$C$10-J150, Assumptions!$C$9-IF(ISNUMBER(M149), M149, Assumptions!$C$15)), 0)</f>
        <v/>
      </c>
      <c r="L150" s="18">
        <f>IF(AND(J150&gt;Assumptions!$C$11, IF(ISNUMBER(M149), M149, Assumptions!$C$15)&gt;0), MIN(J150-Assumptions!$C$11, IF(ISNUMBER(M149), M149, Assumptions!$C$15)), 0)</f>
        <v/>
      </c>
      <c r="M150" s="18">
        <f>IF(ISNUMBER(M149), M149, Assumptions!$C$15)+K150-L150</f>
        <v/>
      </c>
      <c r="N150" s="18">
        <f>ROUND(M150*(Assumptions!$C$19/Assumptions!$C$8), 2)</f>
        <v/>
      </c>
      <c r="O150" s="18">
        <f>J150+K150-L150-N150</f>
        <v/>
      </c>
      <c r="P150" s="18">
        <f>O150+(Assumptions!$C$9-M150)</f>
        <v/>
      </c>
      <c r="Q150" s="18">
        <f>P150-Assumptions!$C$10</f>
        <v/>
      </c>
      <c r="R150" s="21">
        <f>IF(Q150&lt;Assumptions!$C$12, "ALERT TRIGGERED", "COMPLIANT")</f>
        <v/>
      </c>
    </row>
    <row r="151">
      <c r="A151" s="19">
        <f>Data_Feed_Daily!A151</f>
        <v/>
      </c>
      <c r="B151" s="20">
        <f>IF(ISNUMBER(G150), G150, Assumptions!$C$14)</f>
        <v/>
      </c>
      <c r="C151" s="20">
        <f>Data_Feed_Daily!C151</f>
        <v/>
      </c>
      <c r="D151" s="20">
        <f>Data_Feed_Daily!E151-Data_Feed_Daily!F151</f>
        <v/>
      </c>
      <c r="E151" s="20">
        <f>C151-D151-Data_Feed_Daily!D151</f>
        <v/>
      </c>
      <c r="F151" s="20">
        <f>MAX(0, D151-(B151+C151))</f>
        <v/>
      </c>
      <c r="G151" s="20">
        <f>B151+C151-D151+F151</f>
        <v/>
      </c>
      <c r="H151" s="20">
        <f>IF(ISNUMBER(O150), O150, Assumptions!$C$13)</f>
        <v/>
      </c>
      <c r="I151" s="20">
        <f>Data_Feed_Daily!G151</f>
        <v/>
      </c>
      <c r="J151" s="20">
        <f>H151+I151-F151</f>
        <v/>
      </c>
      <c r="K151" s="20">
        <f>IF(J151&lt;Assumptions!$C$10, MIN(Assumptions!$C$10-J151, Assumptions!$C$9-IF(ISNUMBER(M150), M150, Assumptions!$C$15)), 0)</f>
        <v/>
      </c>
      <c r="L151" s="20">
        <f>IF(AND(J151&gt;Assumptions!$C$11, IF(ISNUMBER(M150), M150, Assumptions!$C$15)&gt;0), MIN(J151-Assumptions!$C$11, IF(ISNUMBER(M150), M150, Assumptions!$C$15)), 0)</f>
        <v/>
      </c>
      <c r="M151" s="20">
        <f>IF(ISNUMBER(M150), M150, Assumptions!$C$15)+K151-L151</f>
        <v/>
      </c>
      <c r="N151" s="20">
        <f>ROUND(M151*(Assumptions!$C$19/Assumptions!$C$8), 2)</f>
        <v/>
      </c>
      <c r="O151" s="20">
        <f>J151+K151-L151-N151</f>
        <v/>
      </c>
      <c r="P151" s="20">
        <f>O151+(Assumptions!$C$9-M151)</f>
        <v/>
      </c>
      <c r="Q151" s="20">
        <f>P151-Assumptions!$C$10</f>
        <v/>
      </c>
      <c r="R151" s="22">
        <f>IF(Q151&lt;Assumptions!$C$12, "ALERT TRIGGERED", "COMPLIANT")</f>
        <v/>
      </c>
    </row>
    <row r="152">
      <c r="A152" s="23" t="inlineStr">
        <is>
          <t>TOTAL / BENCHMARKS</t>
        </is>
      </c>
      <c r="B152" s="23" t="n"/>
      <c r="C152" s="24">
        <f>SUM(C2:C151)</f>
        <v/>
      </c>
      <c r="D152" s="24">
        <f>SUM(D2:D151)</f>
        <v/>
      </c>
      <c r="E152" s="23" t="n"/>
      <c r="F152" s="24">
        <f>SUM(F2:F151)</f>
        <v/>
      </c>
      <c r="G152" s="23" t="n"/>
      <c r="H152" s="23" t="n"/>
      <c r="I152" s="24">
        <f>SUM(I2:I151)</f>
        <v/>
      </c>
      <c r="J152" s="23" t="n"/>
      <c r="K152" s="24">
        <f>SUM(K2:K151)</f>
        <v/>
      </c>
      <c r="L152" s="24">
        <f>SUM(L2:L151)</f>
        <v/>
      </c>
      <c r="M152" s="24">
        <f>MAX(M2:M151)</f>
        <v/>
      </c>
      <c r="N152" s="24">
        <f>SUM(N2:N151)</f>
        <v/>
      </c>
      <c r="O152" s="24">
        <f>O151</f>
        <v/>
      </c>
      <c r="P152" s="24">
        <f>P151</f>
        <v/>
      </c>
      <c r="Q152" s="24">
        <f>Q151</f>
        <v/>
      </c>
      <c r="R152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  <col width="21" customWidth="1" min="4" max="4"/>
    <col width="59" customWidth="1" min="5" max="5"/>
  </cols>
  <sheetData>
    <row r="1" ht="25" customHeight="1">
      <c r="A1" s="11" t="inlineStr">
        <is>
          <t>Ledger Date</t>
        </is>
      </c>
      <c r="B1" s="11" t="inlineStr">
        <is>
          <t>Settlements Receivable (Asset)</t>
        </is>
      </c>
      <c r="C1" s="11" t="inlineStr">
        <is>
          <t>Customers Payable (Liability)</t>
        </is>
      </c>
      <c r="D1" s="11" t="inlineStr">
        <is>
          <t>Net Settlement Float Gap</t>
        </is>
      </c>
      <c r="E1" s="11" t="inlineStr">
        <is>
          <t>Days Float Outstanding (DFO)</t>
        </is>
      </c>
    </row>
    <row r="2">
      <c r="A2" s="17">
        <f>Data_Feed_Daily!A2</f>
        <v/>
      </c>
      <c r="B2" s="25">
        <f>Data_Feed_Daily!H2</f>
        <v/>
      </c>
      <c r="C2" s="25">
        <f>Data_Feed_Daily!I2</f>
        <v/>
      </c>
      <c r="D2" s="25">
        <f>B2-C2</f>
        <v/>
      </c>
      <c r="E2" s="26">
        <f>ROUND(B2/(Assumptions!$C$5*Assumptions!$C$6/365), 2)</f>
        <v/>
      </c>
    </row>
    <row r="3">
      <c r="A3" s="19">
        <f>Data_Feed_Daily!A3</f>
        <v/>
      </c>
      <c r="B3" s="27">
        <f>Data_Feed_Daily!H3</f>
        <v/>
      </c>
      <c r="C3" s="27">
        <f>Data_Feed_Daily!I3</f>
        <v/>
      </c>
      <c r="D3" s="27">
        <f>B3-C3</f>
        <v/>
      </c>
      <c r="E3" s="28">
        <f>ROUND(B3/(Assumptions!$C$5*Assumptions!$C$6/365), 2)</f>
        <v/>
      </c>
    </row>
    <row r="4">
      <c r="A4" s="17">
        <f>Data_Feed_Daily!A4</f>
        <v/>
      </c>
      <c r="B4" s="25">
        <f>Data_Feed_Daily!H4</f>
        <v/>
      </c>
      <c r="C4" s="25">
        <f>Data_Feed_Daily!I4</f>
        <v/>
      </c>
      <c r="D4" s="25">
        <f>B4-C4</f>
        <v/>
      </c>
      <c r="E4" s="26">
        <f>ROUND(B4/(Assumptions!$C$5*Assumptions!$C$6/365), 2)</f>
        <v/>
      </c>
    </row>
    <row r="5">
      <c r="A5" s="19">
        <f>Data_Feed_Daily!A5</f>
        <v/>
      </c>
      <c r="B5" s="27">
        <f>Data_Feed_Daily!H5</f>
        <v/>
      </c>
      <c r="C5" s="27">
        <f>Data_Feed_Daily!I5</f>
        <v/>
      </c>
      <c r="D5" s="27">
        <f>B5-C5</f>
        <v/>
      </c>
      <c r="E5" s="28">
        <f>ROUND(B5/(Assumptions!$C$5*Assumptions!$C$6/365), 2)</f>
        <v/>
      </c>
    </row>
    <row r="6">
      <c r="A6" s="17">
        <f>Data_Feed_Daily!A6</f>
        <v/>
      </c>
      <c r="B6" s="25">
        <f>Data_Feed_Daily!H6</f>
        <v/>
      </c>
      <c r="C6" s="25">
        <f>Data_Feed_Daily!I6</f>
        <v/>
      </c>
      <c r="D6" s="25">
        <f>B6-C6</f>
        <v/>
      </c>
      <c r="E6" s="26">
        <f>ROUND(B6/(Assumptions!$C$5*Assumptions!$C$6/365), 2)</f>
        <v/>
      </c>
    </row>
    <row r="7">
      <c r="A7" s="19">
        <f>Data_Feed_Daily!A7</f>
        <v/>
      </c>
      <c r="B7" s="27">
        <f>Data_Feed_Daily!H7</f>
        <v/>
      </c>
      <c r="C7" s="27">
        <f>Data_Feed_Daily!I7</f>
        <v/>
      </c>
      <c r="D7" s="27">
        <f>B7-C7</f>
        <v/>
      </c>
      <c r="E7" s="28">
        <f>ROUND(B7/(Assumptions!$C$5*Assumptions!$C$6/365), 2)</f>
        <v/>
      </c>
    </row>
    <row r="8">
      <c r="A8" s="17">
        <f>Data_Feed_Daily!A8</f>
        <v/>
      </c>
      <c r="B8" s="25">
        <f>Data_Feed_Daily!H8</f>
        <v/>
      </c>
      <c r="C8" s="25">
        <f>Data_Feed_Daily!I8</f>
        <v/>
      </c>
      <c r="D8" s="25">
        <f>B8-C8</f>
        <v/>
      </c>
      <c r="E8" s="26">
        <f>ROUND(B8/(Assumptions!$C$5*Assumptions!$C$6/365), 2)</f>
        <v/>
      </c>
    </row>
    <row r="9">
      <c r="A9" s="19">
        <f>Data_Feed_Daily!A9</f>
        <v/>
      </c>
      <c r="B9" s="27">
        <f>Data_Feed_Daily!H9</f>
        <v/>
      </c>
      <c r="C9" s="27">
        <f>Data_Feed_Daily!I9</f>
        <v/>
      </c>
      <c r="D9" s="27">
        <f>B9-C9</f>
        <v/>
      </c>
      <c r="E9" s="28">
        <f>ROUND(B9/(Assumptions!$C$5*Assumptions!$C$6/365), 2)</f>
        <v/>
      </c>
    </row>
    <row r="10">
      <c r="A10" s="17">
        <f>Data_Feed_Daily!A10</f>
        <v/>
      </c>
      <c r="B10" s="25">
        <f>Data_Feed_Daily!H10</f>
        <v/>
      </c>
      <c r="C10" s="25">
        <f>Data_Feed_Daily!I10</f>
        <v/>
      </c>
      <c r="D10" s="25">
        <f>B10-C10</f>
        <v/>
      </c>
      <c r="E10" s="26">
        <f>ROUND(B10/(Assumptions!$C$5*Assumptions!$C$6/365), 2)</f>
        <v/>
      </c>
    </row>
    <row r="11">
      <c r="A11" s="19">
        <f>Data_Feed_Daily!A11</f>
        <v/>
      </c>
      <c r="B11" s="27">
        <f>Data_Feed_Daily!H11</f>
        <v/>
      </c>
      <c r="C11" s="27">
        <f>Data_Feed_Daily!I11</f>
        <v/>
      </c>
      <c r="D11" s="27">
        <f>B11-C11</f>
        <v/>
      </c>
      <c r="E11" s="28">
        <f>ROUND(B11/(Assumptions!$C$5*Assumptions!$C$6/365), 2)</f>
        <v/>
      </c>
    </row>
    <row r="12">
      <c r="A12" s="17">
        <f>Data_Feed_Daily!A12</f>
        <v/>
      </c>
      <c r="B12" s="25">
        <f>Data_Feed_Daily!H12</f>
        <v/>
      </c>
      <c r="C12" s="25">
        <f>Data_Feed_Daily!I12</f>
        <v/>
      </c>
      <c r="D12" s="25">
        <f>B12-C12</f>
        <v/>
      </c>
      <c r="E12" s="26">
        <f>ROUND(B12/(Assumptions!$C$5*Assumptions!$C$6/365), 2)</f>
        <v/>
      </c>
    </row>
    <row r="13">
      <c r="A13" s="19">
        <f>Data_Feed_Daily!A13</f>
        <v/>
      </c>
      <c r="B13" s="27">
        <f>Data_Feed_Daily!H13</f>
        <v/>
      </c>
      <c r="C13" s="27">
        <f>Data_Feed_Daily!I13</f>
        <v/>
      </c>
      <c r="D13" s="27">
        <f>B13-C13</f>
        <v/>
      </c>
      <c r="E13" s="28">
        <f>ROUND(B13/(Assumptions!$C$5*Assumptions!$C$6/365), 2)</f>
        <v/>
      </c>
    </row>
    <row r="14">
      <c r="A14" s="17">
        <f>Data_Feed_Daily!A14</f>
        <v/>
      </c>
      <c r="B14" s="25">
        <f>Data_Feed_Daily!H14</f>
        <v/>
      </c>
      <c r="C14" s="25">
        <f>Data_Feed_Daily!I14</f>
        <v/>
      </c>
      <c r="D14" s="25">
        <f>B14-C14</f>
        <v/>
      </c>
      <c r="E14" s="26">
        <f>ROUND(B14/(Assumptions!$C$5*Assumptions!$C$6/365), 2)</f>
        <v/>
      </c>
    </row>
    <row r="15">
      <c r="A15" s="19">
        <f>Data_Feed_Daily!A15</f>
        <v/>
      </c>
      <c r="B15" s="27">
        <f>Data_Feed_Daily!H15</f>
        <v/>
      </c>
      <c r="C15" s="27">
        <f>Data_Feed_Daily!I15</f>
        <v/>
      </c>
      <c r="D15" s="27">
        <f>B15-C15</f>
        <v/>
      </c>
      <c r="E15" s="28">
        <f>ROUND(B15/(Assumptions!$C$5*Assumptions!$C$6/365), 2)</f>
        <v/>
      </c>
    </row>
    <row r="16">
      <c r="A16" s="17">
        <f>Data_Feed_Daily!A16</f>
        <v/>
      </c>
      <c r="B16" s="25">
        <f>Data_Feed_Daily!H16</f>
        <v/>
      </c>
      <c r="C16" s="25">
        <f>Data_Feed_Daily!I16</f>
        <v/>
      </c>
      <c r="D16" s="25">
        <f>B16-C16</f>
        <v/>
      </c>
      <c r="E16" s="26">
        <f>ROUND(B16/(Assumptions!$C$5*Assumptions!$C$6/365), 2)</f>
        <v/>
      </c>
    </row>
    <row r="17">
      <c r="A17" s="19">
        <f>Data_Feed_Daily!A17</f>
        <v/>
      </c>
      <c r="B17" s="27">
        <f>Data_Feed_Daily!H17</f>
        <v/>
      </c>
      <c r="C17" s="27">
        <f>Data_Feed_Daily!I17</f>
        <v/>
      </c>
      <c r="D17" s="27">
        <f>B17-C17</f>
        <v/>
      </c>
      <c r="E17" s="28">
        <f>ROUND(B17/(Assumptions!$C$5*Assumptions!$C$6/365), 2)</f>
        <v/>
      </c>
    </row>
    <row r="18">
      <c r="A18" s="17">
        <f>Data_Feed_Daily!A18</f>
        <v/>
      </c>
      <c r="B18" s="25">
        <f>Data_Feed_Daily!H18</f>
        <v/>
      </c>
      <c r="C18" s="25">
        <f>Data_Feed_Daily!I18</f>
        <v/>
      </c>
      <c r="D18" s="25">
        <f>B18-C18</f>
        <v/>
      </c>
      <c r="E18" s="26">
        <f>ROUND(B18/(Assumptions!$C$5*Assumptions!$C$6/365), 2)</f>
        <v/>
      </c>
    </row>
    <row r="19">
      <c r="A19" s="19">
        <f>Data_Feed_Daily!A19</f>
        <v/>
      </c>
      <c r="B19" s="27">
        <f>Data_Feed_Daily!H19</f>
        <v/>
      </c>
      <c r="C19" s="27">
        <f>Data_Feed_Daily!I19</f>
        <v/>
      </c>
      <c r="D19" s="27">
        <f>B19-C19</f>
        <v/>
      </c>
      <c r="E19" s="28">
        <f>ROUND(B19/(Assumptions!$C$5*Assumptions!$C$6/365), 2)</f>
        <v/>
      </c>
    </row>
    <row r="20">
      <c r="A20" s="17">
        <f>Data_Feed_Daily!A20</f>
        <v/>
      </c>
      <c r="B20" s="25">
        <f>Data_Feed_Daily!H20</f>
        <v/>
      </c>
      <c r="C20" s="25">
        <f>Data_Feed_Daily!I20</f>
        <v/>
      </c>
      <c r="D20" s="25">
        <f>B20-C20</f>
        <v/>
      </c>
      <c r="E20" s="26">
        <f>ROUND(B20/(Assumptions!$C$5*Assumptions!$C$6/365), 2)</f>
        <v/>
      </c>
    </row>
    <row r="21">
      <c r="A21" s="19">
        <f>Data_Feed_Daily!A21</f>
        <v/>
      </c>
      <c r="B21" s="27">
        <f>Data_Feed_Daily!H21</f>
        <v/>
      </c>
      <c r="C21" s="27">
        <f>Data_Feed_Daily!I21</f>
        <v/>
      </c>
      <c r="D21" s="27">
        <f>B21-C21</f>
        <v/>
      </c>
      <c r="E21" s="28">
        <f>ROUND(B21/(Assumptions!$C$5*Assumptions!$C$6/365), 2)</f>
        <v/>
      </c>
    </row>
    <row r="22">
      <c r="A22" s="17">
        <f>Data_Feed_Daily!A22</f>
        <v/>
      </c>
      <c r="B22" s="25">
        <f>Data_Feed_Daily!H22</f>
        <v/>
      </c>
      <c r="C22" s="25">
        <f>Data_Feed_Daily!I22</f>
        <v/>
      </c>
      <c r="D22" s="25">
        <f>B22-C22</f>
        <v/>
      </c>
      <c r="E22" s="26">
        <f>ROUND(B22/(Assumptions!$C$5*Assumptions!$C$6/365), 2)</f>
        <v/>
      </c>
    </row>
    <row r="23">
      <c r="A23" s="19">
        <f>Data_Feed_Daily!A23</f>
        <v/>
      </c>
      <c r="B23" s="27">
        <f>Data_Feed_Daily!H23</f>
        <v/>
      </c>
      <c r="C23" s="27">
        <f>Data_Feed_Daily!I23</f>
        <v/>
      </c>
      <c r="D23" s="27">
        <f>B23-C23</f>
        <v/>
      </c>
      <c r="E23" s="28">
        <f>ROUND(B23/(Assumptions!$C$5*Assumptions!$C$6/365), 2)</f>
        <v/>
      </c>
    </row>
    <row r="24">
      <c r="A24" s="17">
        <f>Data_Feed_Daily!A24</f>
        <v/>
      </c>
      <c r="B24" s="25">
        <f>Data_Feed_Daily!H24</f>
        <v/>
      </c>
      <c r="C24" s="25">
        <f>Data_Feed_Daily!I24</f>
        <v/>
      </c>
      <c r="D24" s="25">
        <f>B24-C24</f>
        <v/>
      </c>
      <c r="E24" s="26">
        <f>ROUND(B24/(Assumptions!$C$5*Assumptions!$C$6/365), 2)</f>
        <v/>
      </c>
    </row>
    <row r="25">
      <c r="A25" s="19">
        <f>Data_Feed_Daily!A25</f>
        <v/>
      </c>
      <c r="B25" s="27">
        <f>Data_Feed_Daily!H25</f>
        <v/>
      </c>
      <c r="C25" s="27">
        <f>Data_Feed_Daily!I25</f>
        <v/>
      </c>
      <c r="D25" s="27">
        <f>B25-C25</f>
        <v/>
      </c>
      <c r="E25" s="28">
        <f>ROUND(B25/(Assumptions!$C$5*Assumptions!$C$6/365), 2)</f>
        <v/>
      </c>
    </row>
    <row r="26">
      <c r="A26" s="17">
        <f>Data_Feed_Daily!A26</f>
        <v/>
      </c>
      <c r="B26" s="25">
        <f>Data_Feed_Daily!H26</f>
        <v/>
      </c>
      <c r="C26" s="25">
        <f>Data_Feed_Daily!I26</f>
        <v/>
      </c>
      <c r="D26" s="25">
        <f>B26-C26</f>
        <v/>
      </c>
      <c r="E26" s="26">
        <f>ROUND(B26/(Assumptions!$C$5*Assumptions!$C$6/365), 2)</f>
        <v/>
      </c>
    </row>
    <row r="27">
      <c r="A27" s="19">
        <f>Data_Feed_Daily!A27</f>
        <v/>
      </c>
      <c r="B27" s="27">
        <f>Data_Feed_Daily!H27</f>
        <v/>
      </c>
      <c r="C27" s="27">
        <f>Data_Feed_Daily!I27</f>
        <v/>
      </c>
      <c r="D27" s="27">
        <f>B27-C27</f>
        <v/>
      </c>
      <c r="E27" s="28">
        <f>ROUND(B27/(Assumptions!$C$5*Assumptions!$C$6/365), 2)</f>
        <v/>
      </c>
    </row>
    <row r="28">
      <c r="A28" s="17">
        <f>Data_Feed_Daily!A28</f>
        <v/>
      </c>
      <c r="B28" s="25">
        <f>Data_Feed_Daily!H28</f>
        <v/>
      </c>
      <c r="C28" s="25">
        <f>Data_Feed_Daily!I28</f>
        <v/>
      </c>
      <c r="D28" s="25">
        <f>B28-C28</f>
        <v/>
      </c>
      <c r="E28" s="26">
        <f>ROUND(B28/(Assumptions!$C$5*Assumptions!$C$6/365), 2)</f>
        <v/>
      </c>
    </row>
    <row r="29">
      <c r="A29" s="19">
        <f>Data_Feed_Daily!A29</f>
        <v/>
      </c>
      <c r="B29" s="27">
        <f>Data_Feed_Daily!H29</f>
        <v/>
      </c>
      <c r="C29" s="27">
        <f>Data_Feed_Daily!I29</f>
        <v/>
      </c>
      <c r="D29" s="27">
        <f>B29-C29</f>
        <v/>
      </c>
      <c r="E29" s="28">
        <f>ROUND(B29/(Assumptions!$C$5*Assumptions!$C$6/365), 2)</f>
        <v/>
      </c>
    </row>
    <row r="30">
      <c r="A30" s="17">
        <f>Data_Feed_Daily!A30</f>
        <v/>
      </c>
      <c r="B30" s="25">
        <f>Data_Feed_Daily!H30</f>
        <v/>
      </c>
      <c r="C30" s="25">
        <f>Data_Feed_Daily!I30</f>
        <v/>
      </c>
      <c r="D30" s="25">
        <f>B30-C30</f>
        <v/>
      </c>
      <c r="E30" s="26">
        <f>ROUND(B30/(Assumptions!$C$5*Assumptions!$C$6/365), 2)</f>
        <v/>
      </c>
    </row>
    <row r="31">
      <c r="A31" s="19">
        <f>Data_Feed_Daily!A31</f>
        <v/>
      </c>
      <c r="B31" s="27">
        <f>Data_Feed_Daily!H31</f>
        <v/>
      </c>
      <c r="C31" s="27">
        <f>Data_Feed_Daily!I31</f>
        <v/>
      </c>
      <c r="D31" s="27">
        <f>B31-C31</f>
        <v/>
      </c>
      <c r="E31" s="28">
        <f>ROUND(B31/(Assumptions!$C$5*Assumptions!$C$6/365), 2)</f>
        <v/>
      </c>
    </row>
    <row r="32">
      <c r="A32" s="17">
        <f>Data_Feed_Daily!A32</f>
        <v/>
      </c>
      <c r="B32" s="25">
        <f>Data_Feed_Daily!H32</f>
        <v/>
      </c>
      <c r="C32" s="25">
        <f>Data_Feed_Daily!I32</f>
        <v/>
      </c>
      <c r="D32" s="25">
        <f>B32-C32</f>
        <v/>
      </c>
      <c r="E32" s="26">
        <f>ROUND(B32/(Assumptions!$C$5*Assumptions!$C$6/365), 2)</f>
        <v/>
      </c>
    </row>
    <row r="33">
      <c r="A33" s="19">
        <f>Data_Feed_Daily!A33</f>
        <v/>
      </c>
      <c r="B33" s="27">
        <f>Data_Feed_Daily!H33</f>
        <v/>
      </c>
      <c r="C33" s="27">
        <f>Data_Feed_Daily!I33</f>
        <v/>
      </c>
      <c r="D33" s="27">
        <f>B33-C33</f>
        <v/>
      </c>
      <c r="E33" s="28">
        <f>ROUND(B33/(Assumptions!$C$5*Assumptions!$C$6/365), 2)</f>
        <v/>
      </c>
    </row>
    <row r="34">
      <c r="A34" s="17">
        <f>Data_Feed_Daily!A34</f>
        <v/>
      </c>
      <c r="B34" s="25">
        <f>Data_Feed_Daily!H34</f>
        <v/>
      </c>
      <c r="C34" s="25">
        <f>Data_Feed_Daily!I34</f>
        <v/>
      </c>
      <c r="D34" s="25">
        <f>B34-C34</f>
        <v/>
      </c>
      <c r="E34" s="26">
        <f>ROUND(B34/(Assumptions!$C$5*Assumptions!$C$6/365), 2)</f>
        <v/>
      </c>
    </row>
    <row r="35">
      <c r="A35" s="19">
        <f>Data_Feed_Daily!A35</f>
        <v/>
      </c>
      <c r="B35" s="27">
        <f>Data_Feed_Daily!H35</f>
        <v/>
      </c>
      <c r="C35" s="27">
        <f>Data_Feed_Daily!I35</f>
        <v/>
      </c>
      <c r="D35" s="27">
        <f>B35-C35</f>
        <v/>
      </c>
      <c r="E35" s="28">
        <f>ROUND(B35/(Assumptions!$C$5*Assumptions!$C$6/365), 2)</f>
        <v/>
      </c>
    </row>
    <row r="36">
      <c r="A36" s="17">
        <f>Data_Feed_Daily!A36</f>
        <v/>
      </c>
      <c r="B36" s="25">
        <f>Data_Feed_Daily!H36</f>
        <v/>
      </c>
      <c r="C36" s="25">
        <f>Data_Feed_Daily!I36</f>
        <v/>
      </c>
      <c r="D36" s="25">
        <f>B36-C36</f>
        <v/>
      </c>
      <c r="E36" s="26">
        <f>ROUND(B36/(Assumptions!$C$5*Assumptions!$C$6/365), 2)</f>
        <v/>
      </c>
    </row>
    <row r="37">
      <c r="A37" s="19">
        <f>Data_Feed_Daily!A37</f>
        <v/>
      </c>
      <c r="B37" s="27">
        <f>Data_Feed_Daily!H37</f>
        <v/>
      </c>
      <c r="C37" s="27">
        <f>Data_Feed_Daily!I37</f>
        <v/>
      </c>
      <c r="D37" s="27">
        <f>B37-C37</f>
        <v/>
      </c>
      <c r="E37" s="28">
        <f>ROUND(B37/(Assumptions!$C$5*Assumptions!$C$6/365), 2)</f>
        <v/>
      </c>
    </row>
    <row r="38">
      <c r="A38" s="17">
        <f>Data_Feed_Daily!A38</f>
        <v/>
      </c>
      <c r="B38" s="25">
        <f>Data_Feed_Daily!H38</f>
        <v/>
      </c>
      <c r="C38" s="25">
        <f>Data_Feed_Daily!I38</f>
        <v/>
      </c>
      <c r="D38" s="25">
        <f>B38-C38</f>
        <v/>
      </c>
      <c r="E38" s="26">
        <f>ROUND(B38/(Assumptions!$C$5*Assumptions!$C$6/365), 2)</f>
        <v/>
      </c>
    </row>
    <row r="39">
      <c r="A39" s="19">
        <f>Data_Feed_Daily!A39</f>
        <v/>
      </c>
      <c r="B39" s="27">
        <f>Data_Feed_Daily!H39</f>
        <v/>
      </c>
      <c r="C39" s="27">
        <f>Data_Feed_Daily!I39</f>
        <v/>
      </c>
      <c r="D39" s="27">
        <f>B39-C39</f>
        <v/>
      </c>
      <c r="E39" s="28">
        <f>ROUND(B39/(Assumptions!$C$5*Assumptions!$C$6/365), 2)</f>
        <v/>
      </c>
    </row>
    <row r="40">
      <c r="A40" s="17">
        <f>Data_Feed_Daily!A40</f>
        <v/>
      </c>
      <c r="B40" s="25">
        <f>Data_Feed_Daily!H40</f>
        <v/>
      </c>
      <c r="C40" s="25">
        <f>Data_Feed_Daily!I40</f>
        <v/>
      </c>
      <c r="D40" s="25">
        <f>B40-C40</f>
        <v/>
      </c>
      <c r="E40" s="26">
        <f>ROUND(B40/(Assumptions!$C$5*Assumptions!$C$6/365), 2)</f>
        <v/>
      </c>
    </row>
    <row r="41">
      <c r="A41" s="19">
        <f>Data_Feed_Daily!A41</f>
        <v/>
      </c>
      <c r="B41" s="27">
        <f>Data_Feed_Daily!H41</f>
        <v/>
      </c>
      <c r="C41" s="27">
        <f>Data_Feed_Daily!I41</f>
        <v/>
      </c>
      <c r="D41" s="27">
        <f>B41-C41</f>
        <v/>
      </c>
      <c r="E41" s="28">
        <f>ROUND(B41/(Assumptions!$C$5*Assumptions!$C$6/365), 2)</f>
        <v/>
      </c>
    </row>
    <row r="42">
      <c r="A42" s="17">
        <f>Data_Feed_Daily!A42</f>
        <v/>
      </c>
      <c r="B42" s="25">
        <f>Data_Feed_Daily!H42</f>
        <v/>
      </c>
      <c r="C42" s="25">
        <f>Data_Feed_Daily!I42</f>
        <v/>
      </c>
      <c r="D42" s="25">
        <f>B42-C42</f>
        <v/>
      </c>
      <c r="E42" s="26">
        <f>ROUND(B42/(Assumptions!$C$5*Assumptions!$C$6/365), 2)</f>
        <v/>
      </c>
    </row>
    <row r="43">
      <c r="A43" s="19">
        <f>Data_Feed_Daily!A43</f>
        <v/>
      </c>
      <c r="B43" s="27">
        <f>Data_Feed_Daily!H43</f>
        <v/>
      </c>
      <c r="C43" s="27">
        <f>Data_Feed_Daily!I43</f>
        <v/>
      </c>
      <c r="D43" s="27">
        <f>B43-C43</f>
        <v/>
      </c>
      <c r="E43" s="28">
        <f>ROUND(B43/(Assumptions!$C$5*Assumptions!$C$6/365), 2)</f>
        <v/>
      </c>
    </row>
    <row r="44">
      <c r="A44" s="17">
        <f>Data_Feed_Daily!A44</f>
        <v/>
      </c>
      <c r="B44" s="25">
        <f>Data_Feed_Daily!H44</f>
        <v/>
      </c>
      <c r="C44" s="25">
        <f>Data_Feed_Daily!I44</f>
        <v/>
      </c>
      <c r="D44" s="25">
        <f>B44-C44</f>
        <v/>
      </c>
      <c r="E44" s="26">
        <f>ROUND(B44/(Assumptions!$C$5*Assumptions!$C$6/365), 2)</f>
        <v/>
      </c>
    </row>
    <row r="45">
      <c r="A45" s="19">
        <f>Data_Feed_Daily!A45</f>
        <v/>
      </c>
      <c r="B45" s="27">
        <f>Data_Feed_Daily!H45</f>
        <v/>
      </c>
      <c r="C45" s="27">
        <f>Data_Feed_Daily!I45</f>
        <v/>
      </c>
      <c r="D45" s="27">
        <f>B45-C45</f>
        <v/>
      </c>
      <c r="E45" s="28">
        <f>ROUND(B45/(Assumptions!$C$5*Assumptions!$C$6/365), 2)</f>
        <v/>
      </c>
    </row>
    <row r="46">
      <c r="A46" s="17">
        <f>Data_Feed_Daily!A46</f>
        <v/>
      </c>
      <c r="B46" s="25">
        <f>Data_Feed_Daily!H46</f>
        <v/>
      </c>
      <c r="C46" s="25">
        <f>Data_Feed_Daily!I46</f>
        <v/>
      </c>
      <c r="D46" s="25">
        <f>B46-C46</f>
        <v/>
      </c>
      <c r="E46" s="26">
        <f>ROUND(B46/(Assumptions!$C$5*Assumptions!$C$6/365), 2)</f>
        <v/>
      </c>
    </row>
    <row r="47">
      <c r="A47" s="19">
        <f>Data_Feed_Daily!A47</f>
        <v/>
      </c>
      <c r="B47" s="27">
        <f>Data_Feed_Daily!H47</f>
        <v/>
      </c>
      <c r="C47" s="27">
        <f>Data_Feed_Daily!I47</f>
        <v/>
      </c>
      <c r="D47" s="27">
        <f>B47-C47</f>
        <v/>
      </c>
      <c r="E47" s="28">
        <f>ROUND(B47/(Assumptions!$C$5*Assumptions!$C$6/365), 2)</f>
        <v/>
      </c>
    </row>
    <row r="48">
      <c r="A48" s="17">
        <f>Data_Feed_Daily!A48</f>
        <v/>
      </c>
      <c r="B48" s="25">
        <f>Data_Feed_Daily!H48</f>
        <v/>
      </c>
      <c r="C48" s="25">
        <f>Data_Feed_Daily!I48</f>
        <v/>
      </c>
      <c r="D48" s="25">
        <f>B48-C48</f>
        <v/>
      </c>
      <c r="E48" s="26">
        <f>ROUND(B48/(Assumptions!$C$5*Assumptions!$C$6/365), 2)</f>
        <v/>
      </c>
    </row>
    <row r="49">
      <c r="A49" s="19">
        <f>Data_Feed_Daily!A49</f>
        <v/>
      </c>
      <c r="B49" s="27">
        <f>Data_Feed_Daily!H49</f>
        <v/>
      </c>
      <c r="C49" s="27">
        <f>Data_Feed_Daily!I49</f>
        <v/>
      </c>
      <c r="D49" s="27">
        <f>B49-C49</f>
        <v/>
      </c>
      <c r="E49" s="28">
        <f>ROUND(B49/(Assumptions!$C$5*Assumptions!$C$6/365), 2)</f>
        <v/>
      </c>
    </row>
    <row r="50">
      <c r="A50" s="17">
        <f>Data_Feed_Daily!A50</f>
        <v/>
      </c>
      <c r="B50" s="25">
        <f>Data_Feed_Daily!H50</f>
        <v/>
      </c>
      <c r="C50" s="25">
        <f>Data_Feed_Daily!I50</f>
        <v/>
      </c>
      <c r="D50" s="25">
        <f>B50-C50</f>
        <v/>
      </c>
      <c r="E50" s="26">
        <f>ROUND(B50/(Assumptions!$C$5*Assumptions!$C$6/365), 2)</f>
        <v/>
      </c>
    </row>
    <row r="51">
      <c r="A51" s="19">
        <f>Data_Feed_Daily!A51</f>
        <v/>
      </c>
      <c r="B51" s="27">
        <f>Data_Feed_Daily!H51</f>
        <v/>
      </c>
      <c r="C51" s="27">
        <f>Data_Feed_Daily!I51</f>
        <v/>
      </c>
      <c r="D51" s="27">
        <f>B51-C51</f>
        <v/>
      </c>
      <c r="E51" s="28">
        <f>ROUND(B51/(Assumptions!$C$5*Assumptions!$C$6/365), 2)</f>
        <v/>
      </c>
    </row>
    <row r="52">
      <c r="A52" s="17">
        <f>Data_Feed_Daily!A52</f>
        <v/>
      </c>
      <c r="B52" s="25">
        <f>Data_Feed_Daily!H52</f>
        <v/>
      </c>
      <c r="C52" s="25">
        <f>Data_Feed_Daily!I52</f>
        <v/>
      </c>
      <c r="D52" s="25">
        <f>B52-C52</f>
        <v/>
      </c>
      <c r="E52" s="26">
        <f>ROUND(B52/(Assumptions!$C$5*Assumptions!$C$6/365), 2)</f>
        <v/>
      </c>
    </row>
    <row r="53">
      <c r="A53" s="19">
        <f>Data_Feed_Daily!A53</f>
        <v/>
      </c>
      <c r="B53" s="27">
        <f>Data_Feed_Daily!H53</f>
        <v/>
      </c>
      <c r="C53" s="27">
        <f>Data_Feed_Daily!I53</f>
        <v/>
      </c>
      <c r="D53" s="27">
        <f>B53-C53</f>
        <v/>
      </c>
      <c r="E53" s="28">
        <f>ROUND(B53/(Assumptions!$C$5*Assumptions!$C$6/365), 2)</f>
        <v/>
      </c>
    </row>
    <row r="54">
      <c r="A54" s="17">
        <f>Data_Feed_Daily!A54</f>
        <v/>
      </c>
      <c r="B54" s="25">
        <f>Data_Feed_Daily!H54</f>
        <v/>
      </c>
      <c r="C54" s="25">
        <f>Data_Feed_Daily!I54</f>
        <v/>
      </c>
      <c r="D54" s="25">
        <f>B54-C54</f>
        <v/>
      </c>
      <c r="E54" s="26">
        <f>ROUND(B54/(Assumptions!$C$5*Assumptions!$C$6/365), 2)</f>
        <v/>
      </c>
    </row>
    <row r="55">
      <c r="A55" s="19">
        <f>Data_Feed_Daily!A55</f>
        <v/>
      </c>
      <c r="B55" s="27">
        <f>Data_Feed_Daily!H55</f>
        <v/>
      </c>
      <c r="C55" s="27">
        <f>Data_Feed_Daily!I55</f>
        <v/>
      </c>
      <c r="D55" s="27">
        <f>B55-C55</f>
        <v/>
      </c>
      <c r="E55" s="28">
        <f>ROUND(B55/(Assumptions!$C$5*Assumptions!$C$6/365), 2)</f>
        <v/>
      </c>
    </row>
    <row r="56">
      <c r="A56" s="17">
        <f>Data_Feed_Daily!A56</f>
        <v/>
      </c>
      <c r="B56" s="25">
        <f>Data_Feed_Daily!H56</f>
        <v/>
      </c>
      <c r="C56" s="25">
        <f>Data_Feed_Daily!I56</f>
        <v/>
      </c>
      <c r="D56" s="25">
        <f>B56-C56</f>
        <v/>
      </c>
      <c r="E56" s="26">
        <f>ROUND(B56/(Assumptions!$C$5*Assumptions!$C$6/365), 2)</f>
        <v/>
      </c>
    </row>
    <row r="57">
      <c r="A57" s="19">
        <f>Data_Feed_Daily!A57</f>
        <v/>
      </c>
      <c r="B57" s="27">
        <f>Data_Feed_Daily!H57</f>
        <v/>
      </c>
      <c r="C57" s="27">
        <f>Data_Feed_Daily!I57</f>
        <v/>
      </c>
      <c r="D57" s="27">
        <f>B57-C57</f>
        <v/>
      </c>
      <c r="E57" s="28">
        <f>ROUND(B57/(Assumptions!$C$5*Assumptions!$C$6/365), 2)</f>
        <v/>
      </c>
    </row>
    <row r="58">
      <c r="A58" s="17">
        <f>Data_Feed_Daily!A58</f>
        <v/>
      </c>
      <c r="B58" s="25">
        <f>Data_Feed_Daily!H58</f>
        <v/>
      </c>
      <c r="C58" s="25">
        <f>Data_Feed_Daily!I58</f>
        <v/>
      </c>
      <c r="D58" s="25">
        <f>B58-C58</f>
        <v/>
      </c>
      <c r="E58" s="26">
        <f>ROUND(B58/(Assumptions!$C$5*Assumptions!$C$6/365), 2)</f>
        <v/>
      </c>
    </row>
    <row r="59">
      <c r="A59" s="19">
        <f>Data_Feed_Daily!A59</f>
        <v/>
      </c>
      <c r="B59" s="27">
        <f>Data_Feed_Daily!H59</f>
        <v/>
      </c>
      <c r="C59" s="27">
        <f>Data_Feed_Daily!I59</f>
        <v/>
      </c>
      <c r="D59" s="27">
        <f>B59-C59</f>
        <v/>
      </c>
      <c r="E59" s="28">
        <f>ROUND(B59/(Assumptions!$C$5*Assumptions!$C$6/365), 2)</f>
        <v/>
      </c>
    </row>
    <row r="60">
      <c r="A60" s="17">
        <f>Data_Feed_Daily!A60</f>
        <v/>
      </c>
      <c r="B60" s="25">
        <f>Data_Feed_Daily!H60</f>
        <v/>
      </c>
      <c r="C60" s="25">
        <f>Data_Feed_Daily!I60</f>
        <v/>
      </c>
      <c r="D60" s="25">
        <f>B60-C60</f>
        <v/>
      </c>
      <c r="E60" s="26">
        <f>ROUND(B60/(Assumptions!$C$5*Assumptions!$C$6/365), 2)</f>
        <v/>
      </c>
    </row>
    <row r="61">
      <c r="A61" s="19">
        <f>Data_Feed_Daily!A61</f>
        <v/>
      </c>
      <c r="B61" s="27">
        <f>Data_Feed_Daily!H61</f>
        <v/>
      </c>
      <c r="C61" s="27">
        <f>Data_Feed_Daily!I61</f>
        <v/>
      </c>
      <c r="D61" s="27">
        <f>B61-C61</f>
        <v/>
      </c>
      <c r="E61" s="28">
        <f>ROUND(B61/(Assumptions!$C$5*Assumptions!$C$6/365), 2)</f>
        <v/>
      </c>
    </row>
    <row r="62">
      <c r="A62" s="17">
        <f>Data_Feed_Daily!A62</f>
        <v/>
      </c>
      <c r="B62" s="25">
        <f>Data_Feed_Daily!H62</f>
        <v/>
      </c>
      <c r="C62" s="25">
        <f>Data_Feed_Daily!I62</f>
        <v/>
      </c>
      <c r="D62" s="25">
        <f>B62-C62</f>
        <v/>
      </c>
      <c r="E62" s="26">
        <f>ROUND(B62/(Assumptions!$C$5*Assumptions!$C$6/365), 2)</f>
        <v/>
      </c>
    </row>
    <row r="63">
      <c r="A63" s="19">
        <f>Data_Feed_Daily!A63</f>
        <v/>
      </c>
      <c r="B63" s="27">
        <f>Data_Feed_Daily!H63</f>
        <v/>
      </c>
      <c r="C63" s="27">
        <f>Data_Feed_Daily!I63</f>
        <v/>
      </c>
      <c r="D63" s="27">
        <f>B63-C63</f>
        <v/>
      </c>
      <c r="E63" s="28">
        <f>ROUND(B63/(Assumptions!$C$5*Assumptions!$C$6/365), 2)</f>
        <v/>
      </c>
    </row>
    <row r="64">
      <c r="A64" s="17">
        <f>Data_Feed_Daily!A64</f>
        <v/>
      </c>
      <c r="B64" s="25">
        <f>Data_Feed_Daily!H64</f>
        <v/>
      </c>
      <c r="C64" s="25">
        <f>Data_Feed_Daily!I64</f>
        <v/>
      </c>
      <c r="D64" s="25">
        <f>B64-C64</f>
        <v/>
      </c>
      <c r="E64" s="26">
        <f>ROUND(B64/(Assumptions!$C$5*Assumptions!$C$6/365), 2)</f>
        <v/>
      </c>
    </row>
    <row r="65">
      <c r="A65" s="19">
        <f>Data_Feed_Daily!A65</f>
        <v/>
      </c>
      <c r="B65" s="27">
        <f>Data_Feed_Daily!H65</f>
        <v/>
      </c>
      <c r="C65" s="27">
        <f>Data_Feed_Daily!I65</f>
        <v/>
      </c>
      <c r="D65" s="27">
        <f>B65-C65</f>
        <v/>
      </c>
      <c r="E65" s="28">
        <f>ROUND(B65/(Assumptions!$C$5*Assumptions!$C$6/365), 2)</f>
        <v/>
      </c>
    </row>
    <row r="66">
      <c r="A66" s="17">
        <f>Data_Feed_Daily!A66</f>
        <v/>
      </c>
      <c r="B66" s="25">
        <f>Data_Feed_Daily!H66</f>
        <v/>
      </c>
      <c r="C66" s="25">
        <f>Data_Feed_Daily!I66</f>
        <v/>
      </c>
      <c r="D66" s="25">
        <f>B66-C66</f>
        <v/>
      </c>
      <c r="E66" s="26">
        <f>ROUND(B66/(Assumptions!$C$5*Assumptions!$C$6/365), 2)</f>
        <v/>
      </c>
    </row>
    <row r="67">
      <c r="A67" s="19">
        <f>Data_Feed_Daily!A67</f>
        <v/>
      </c>
      <c r="B67" s="27">
        <f>Data_Feed_Daily!H67</f>
        <v/>
      </c>
      <c r="C67" s="27">
        <f>Data_Feed_Daily!I67</f>
        <v/>
      </c>
      <c r="D67" s="27">
        <f>B67-C67</f>
        <v/>
      </c>
      <c r="E67" s="28">
        <f>ROUND(B67/(Assumptions!$C$5*Assumptions!$C$6/365), 2)</f>
        <v/>
      </c>
    </row>
    <row r="68">
      <c r="A68" s="17">
        <f>Data_Feed_Daily!A68</f>
        <v/>
      </c>
      <c r="B68" s="25">
        <f>Data_Feed_Daily!H68</f>
        <v/>
      </c>
      <c r="C68" s="25">
        <f>Data_Feed_Daily!I68</f>
        <v/>
      </c>
      <c r="D68" s="25">
        <f>B68-C68</f>
        <v/>
      </c>
      <c r="E68" s="26">
        <f>ROUND(B68/(Assumptions!$C$5*Assumptions!$C$6/365), 2)</f>
        <v/>
      </c>
    </row>
    <row r="69">
      <c r="A69" s="19">
        <f>Data_Feed_Daily!A69</f>
        <v/>
      </c>
      <c r="B69" s="27">
        <f>Data_Feed_Daily!H69</f>
        <v/>
      </c>
      <c r="C69" s="27">
        <f>Data_Feed_Daily!I69</f>
        <v/>
      </c>
      <c r="D69" s="27">
        <f>B69-C69</f>
        <v/>
      </c>
      <c r="E69" s="28">
        <f>ROUND(B69/(Assumptions!$C$5*Assumptions!$C$6/365), 2)</f>
        <v/>
      </c>
    </row>
    <row r="70">
      <c r="A70" s="17">
        <f>Data_Feed_Daily!A70</f>
        <v/>
      </c>
      <c r="B70" s="25">
        <f>Data_Feed_Daily!H70</f>
        <v/>
      </c>
      <c r="C70" s="25">
        <f>Data_Feed_Daily!I70</f>
        <v/>
      </c>
      <c r="D70" s="25">
        <f>B70-C70</f>
        <v/>
      </c>
      <c r="E70" s="26">
        <f>ROUND(B70/(Assumptions!$C$5*Assumptions!$C$6/365), 2)</f>
        <v/>
      </c>
    </row>
    <row r="71">
      <c r="A71" s="19">
        <f>Data_Feed_Daily!A71</f>
        <v/>
      </c>
      <c r="B71" s="27">
        <f>Data_Feed_Daily!H71</f>
        <v/>
      </c>
      <c r="C71" s="27">
        <f>Data_Feed_Daily!I71</f>
        <v/>
      </c>
      <c r="D71" s="27">
        <f>B71-C71</f>
        <v/>
      </c>
      <c r="E71" s="28">
        <f>ROUND(B71/(Assumptions!$C$5*Assumptions!$C$6/365), 2)</f>
        <v/>
      </c>
    </row>
    <row r="72">
      <c r="A72" s="17">
        <f>Data_Feed_Daily!A72</f>
        <v/>
      </c>
      <c r="B72" s="25">
        <f>Data_Feed_Daily!H72</f>
        <v/>
      </c>
      <c r="C72" s="25">
        <f>Data_Feed_Daily!I72</f>
        <v/>
      </c>
      <c r="D72" s="25">
        <f>B72-C72</f>
        <v/>
      </c>
      <c r="E72" s="26">
        <f>ROUND(B72/(Assumptions!$C$5*Assumptions!$C$6/365), 2)</f>
        <v/>
      </c>
    </row>
    <row r="73">
      <c r="A73" s="19">
        <f>Data_Feed_Daily!A73</f>
        <v/>
      </c>
      <c r="B73" s="27">
        <f>Data_Feed_Daily!H73</f>
        <v/>
      </c>
      <c r="C73" s="27">
        <f>Data_Feed_Daily!I73</f>
        <v/>
      </c>
      <c r="D73" s="27">
        <f>B73-C73</f>
        <v/>
      </c>
      <c r="E73" s="28">
        <f>ROUND(B73/(Assumptions!$C$5*Assumptions!$C$6/365), 2)</f>
        <v/>
      </c>
    </row>
    <row r="74">
      <c r="A74" s="17">
        <f>Data_Feed_Daily!A74</f>
        <v/>
      </c>
      <c r="B74" s="25">
        <f>Data_Feed_Daily!H74</f>
        <v/>
      </c>
      <c r="C74" s="25">
        <f>Data_Feed_Daily!I74</f>
        <v/>
      </c>
      <c r="D74" s="25">
        <f>B74-C74</f>
        <v/>
      </c>
      <c r="E74" s="26">
        <f>ROUND(B74/(Assumptions!$C$5*Assumptions!$C$6/365), 2)</f>
        <v/>
      </c>
    </row>
    <row r="75">
      <c r="A75" s="19">
        <f>Data_Feed_Daily!A75</f>
        <v/>
      </c>
      <c r="B75" s="27">
        <f>Data_Feed_Daily!H75</f>
        <v/>
      </c>
      <c r="C75" s="27">
        <f>Data_Feed_Daily!I75</f>
        <v/>
      </c>
      <c r="D75" s="27">
        <f>B75-C75</f>
        <v/>
      </c>
      <c r="E75" s="28">
        <f>ROUND(B75/(Assumptions!$C$5*Assumptions!$C$6/365), 2)</f>
        <v/>
      </c>
    </row>
    <row r="76">
      <c r="A76" s="17">
        <f>Data_Feed_Daily!A76</f>
        <v/>
      </c>
      <c r="B76" s="25">
        <f>Data_Feed_Daily!H76</f>
        <v/>
      </c>
      <c r="C76" s="25">
        <f>Data_Feed_Daily!I76</f>
        <v/>
      </c>
      <c r="D76" s="25">
        <f>B76-C76</f>
        <v/>
      </c>
      <c r="E76" s="26">
        <f>ROUND(B76/(Assumptions!$C$5*Assumptions!$C$6/365), 2)</f>
        <v/>
      </c>
    </row>
    <row r="77">
      <c r="A77" s="19">
        <f>Data_Feed_Daily!A77</f>
        <v/>
      </c>
      <c r="B77" s="27">
        <f>Data_Feed_Daily!H77</f>
        <v/>
      </c>
      <c r="C77" s="27">
        <f>Data_Feed_Daily!I77</f>
        <v/>
      </c>
      <c r="D77" s="27">
        <f>B77-C77</f>
        <v/>
      </c>
      <c r="E77" s="28">
        <f>ROUND(B77/(Assumptions!$C$5*Assumptions!$C$6/365), 2)</f>
        <v/>
      </c>
    </row>
    <row r="78">
      <c r="A78" s="17">
        <f>Data_Feed_Daily!A78</f>
        <v/>
      </c>
      <c r="B78" s="25">
        <f>Data_Feed_Daily!H78</f>
        <v/>
      </c>
      <c r="C78" s="25">
        <f>Data_Feed_Daily!I78</f>
        <v/>
      </c>
      <c r="D78" s="25">
        <f>B78-C78</f>
        <v/>
      </c>
      <c r="E78" s="26">
        <f>ROUND(B78/(Assumptions!$C$5*Assumptions!$C$6/365), 2)</f>
        <v/>
      </c>
    </row>
    <row r="79">
      <c r="A79" s="19">
        <f>Data_Feed_Daily!A79</f>
        <v/>
      </c>
      <c r="B79" s="27">
        <f>Data_Feed_Daily!H79</f>
        <v/>
      </c>
      <c r="C79" s="27">
        <f>Data_Feed_Daily!I79</f>
        <v/>
      </c>
      <c r="D79" s="27">
        <f>B79-C79</f>
        <v/>
      </c>
      <c r="E79" s="28">
        <f>ROUND(B79/(Assumptions!$C$5*Assumptions!$C$6/365), 2)</f>
        <v/>
      </c>
    </row>
    <row r="80">
      <c r="A80" s="17">
        <f>Data_Feed_Daily!A80</f>
        <v/>
      </c>
      <c r="B80" s="25">
        <f>Data_Feed_Daily!H80</f>
        <v/>
      </c>
      <c r="C80" s="25">
        <f>Data_Feed_Daily!I80</f>
        <v/>
      </c>
      <c r="D80" s="25">
        <f>B80-C80</f>
        <v/>
      </c>
      <c r="E80" s="26">
        <f>ROUND(B80/(Assumptions!$C$5*Assumptions!$C$6/365), 2)</f>
        <v/>
      </c>
    </row>
    <row r="81">
      <c r="A81" s="19">
        <f>Data_Feed_Daily!A81</f>
        <v/>
      </c>
      <c r="B81" s="27">
        <f>Data_Feed_Daily!H81</f>
        <v/>
      </c>
      <c r="C81" s="27">
        <f>Data_Feed_Daily!I81</f>
        <v/>
      </c>
      <c r="D81" s="27">
        <f>B81-C81</f>
        <v/>
      </c>
      <c r="E81" s="28">
        <f>ROUND(B81/(Assumptions!$C$5*Assumptions!$C$6/365), 2)</f>
        <v/>
      </c>
    </row>
    <row r="82">
      <c r="A82" s="17">
        <f>Data_Feed_Daily!A82</f>
        <v/>
      </c>
      <c r="B82" s="25">
        <f>Data_Feed_Daily!H82</f>
        <v/>
      </c>
      <c r="C82" s="25">
        <f>Data_Feed_Daily!I82</f>
        <v/>
      </c>
      <c r="D82" s="25">
        <f>B82-C82</f>
        <v/>
      </c>
      <c r="E82" s="26">
        <f>ROUND(B82/(Assumptions!$C$5*Assumptions!$C$6/365), 2)</f>
        <v/>
      </c>
    </row>
    <row r="83">
      <c r="A83" s="19">
        <f>Data_Feed_Daily!A83</f>
        <v/>
      </c>
      <c r="B83" s="27">
        <f>Data_Feed_Daily!H83</f>
        <v/>
      </c>
      <c r="C83" s="27">
        <f>Data_Feed_Daily!I83</f>
        <v/>
      </c>
      <c r="D83" s="27">
        <f>B83-C83</f>
        <v/>
      </c>
      <c r="E83" s="28">
        <f>ROUND(B83/(Assumptions!$C$5*Assumptions!$C$6/365), 2)</f>
        <v/>
      </c>
    </row>
    <row r="84">
      <c r="A84" s="17">
        <f>Data_Feed_Daily!A84</f>
        <v/>
      </c>
      <c r="B84" s="25">
        <f>Data_Feed_Daily!H84</f>
        <v/>
      </c>
      <c r="C84" s="25">
        <f>Data_Feed_Daily!I84</f>
        <v/>
      </c>
      <c r="D84" s="25">
        <f>B84-C84</f>
        <v/>
      </c>
      <c r="E84" s="26">
        <f>ROUND(B84/(Assumptions!$C$5*Assumptions!$C$6/365), 2)</f>
        <v/>
      </c>
    </row>
    <row r="85">
      <c r="A85" s="19">
        <f>Data_Feed_Daily!A85</f>
        <v/>
      </c>
      <c r="B85" s="27">
        <f>Data_Feed_Daily!H85</f>
        <v/>
      </c>
      <c r="C85" s="27">
        <f>Data_Feed_Daily!I85</f>
        <v/>
      </c>
      <c r="D85" s="27">
        <f>B85-C85</f>
        <v/>
      </c>
      <c r="E85" s="28">
        <f>ROUND(B85/(Assumptions!$C$5*Assumptions!$C$6/365), 2)</f>
        <v/>
      </c>
    </row>
    <row r="86">
      <c r="A86" s="17">
        <f>Data_Feed_Daily!A86</f>
        <v/>
      </c>
      <c r="B86" s="25">
        <f>Data_Feed_Daily!H86</f>
        <v/>
      </c>
      <c r="C86" s="25">
        <f>Data_Feed_Daily!I86</f>
        <v/>
      </c>
      <c r="D86" s="25">
        <f>B86-C86</f>
        <v/>
      </c>
      <c r="E86" s="26">
        <f>ROUND(B86/(Assumptions!$C$5*Assumptions!$C$6/365), 2)</f>
        <v/>
      </c>
    </row>
    <row r="87">
      <c r="A87" s="19">
        <f>Data_Feed_Daily!A87</f>
        <v/>
      </c>
      <c r="B87" s="27">
        <f>Data_Feed_Daily!H87</f>
        <v/>
      </c>
      <c r="C87" s="27">
        <f>Data_Feed_Daily!I87</f>
        <v/>
      </c>
      <c r="D87" s="27">
        <f>B87-C87</f>
        <v/>
      </c>
      <c r="E87" s="28">
        <f>ROUND(B87/(Assumptions!$C$5*Assumptions!$C$6/365), 2)</f>
        <v/>
      </c>
    </row>
    <row r="88">
      <c r="A88" s="17">
        <f>Data_Feed_Daily!A88</f>
        <v/>
      </c>
      <c r="B88" s="25">
        <f>Data_Feed_Daily!H88</f>
        <v/>
      </c>
      <c r="C88" s="25">
        <f>Data_Feed_Daily!I88</f>
        <v/>
      </c>
      <c r="D88" s="25">
        <f>B88-C88</f>
        <v/>
      </c>
      <c r="E88" s="26">
        <f>ROUND(B88/(Assumptions!$C$5*Assumptions!$C$6/365), 2)</f>
        <v/>
      </c>
    </row>
    <row r="89">
      <c r="A89" s="19">
        <f>Data_Feed_Daily!A89</f>
        <v/>
      </c>
      <c r="B89" s="27">
        <f>Data_Feed_Daily!H89</f>
        <v/>
      </c>
      <c r="C89" s="27">
        <f>Data_Feed_Daily!I89</f>
        <v/>
      </c>
      <c r="D89" s="27">
        <f>B89-C89</f>
        <v/>
      </c>
      <c r="E89" s="28">
        <f>ROUND(B89/(Assumptions!$C$5*Assumptions!$C$6/365), 2)</f>
        <v/>
      </c>
    </row>
    <row r="90">
      <c r="A90" s="17">
        <f>Data_Feed_Daily!A90</f>
        <v/>
      </c>
      <c r="B90" s="25">
        <f>Data_Feed_Daily!H90</f>
        <v/>
      </c>
      <c r="C90" s="25">
        <f>Data_Feed_Daily!I90</f>
        <v/>
      </c>
      <c r="D90" s="25">
        <f>B90-C90</f>
        <v/>
      </c>
      <c r="E90" s="26">
        <f>ROUND(B90/(Assumptions!$C$5*Assumptions!$C$6/365), 2)</f>
        <v/>
      </c>
    </row>
    <row r="91">
      <c r="A91" s="19">
        <f>Data_Feed_Daily!A91</f>
        <v/>
      </c>
      <c r="B91" s="27">
        <f>Data_Feed_Daily!H91</f>
        <v/>
      </c>
      <c r="C91" s="27">
        <f>Data_Feed_Daily!I91</f>
        <v/>
      </c>
      <c r="D91" s="27">
        <f>B91-C91</f>
        <v/>
      </c>
      <c r="E91" s="28">
        <f>ROUND(B91/(Assumptions!$C$5*Assumptions!$C$6/365), 2)</f>
        <v/>
      </c>
    </row>
    <row r="92">
      <c r="A92" s="17">
        <f>Data_Feed_Daily!A92</f>
        <v/>
      </c>
      <c r="B92" s="25">
        <f>Data_Feed_Daily!H92</f>
        <v/>
      </c>
      <c r="C92" s="25">
        <f>Data_Feed_Daily!I92</f>
        <v/>
      </c>
      <c r="D92" s="25">
        <f>B92-C92</f>
        <v/>
      </c>
      <c r="E92" s="26">
        <f>ROUND(B92/(Assumptions!$C$5*Assumptions!$C$6/365), 2)</f>
        <v/>
      </c>
    </row>
    <row r="93">
      <c r="A93" s="19">
        <f>Data_Feed_Daily!A93</f>
        <v/>
      </c>
      <c r="B93" s="27">
        <f>Data_Feed_Daily!H93</f>
        <v/>
      </c>
      <c r="C93" s="27">
        <f>Data_Feed_Daily!I93</f>
        <v/>
      </c>
      <c r="D93" s="27">
        <f>B93-C93</f>
        <v/>
      </c>
      <c r="E93" s="28">
        <f>ROUND(B93/(Assumptions!$C$5*Assumptions!$C$6/365), 2)</f>
        <v/>
      </c>
    </row>
    <row r="94">
      <c r="A94" s="17">
        <f>Data_Feed_Daily!A94</f>
        <v/>
      </c>
      <c r="B94" s="25">
        <f>Data_Feed_Daily!H94</f>
        <v/>
      </c>
      <c r="C94" s="25">
        <f>Data_Feed_Daily!I94</f>
        <v/>
      </c>
      <c r="D94" s="25">
        <f>B94-C94</f>
        <v/>
      </c>
      <c r="E94" s="26">
        <f>ROUND(B94/(Assumptions!$C$5*Assumptions!$C$6/365), 2)</f>
        <v/>
      </c>
    </row>
    <row r="95">
      <c r="A95" s="19">
        <f>Data_Feed_Daily!A95</f>
        <v/>
      </c>
      <c r="B95" s="27">
        <f>Data_Feed_Daily!H95</f>
        <v/>
      </c>
      <c r="C95" s="27">
        <f>Data_Feed_Daily!I95</f>
        <v/>
      </c>
      <c r="D95" s="27">
        <f>B95-C95</f>
        <v/>
      </c>
      <c r="E95" s="28">
        <f>ROUND(B95/(Assumptions!$C$5*Assumptions!$C$6/365), 2)</f>
        <v/>
      </c>
    </row>
    <row r="96">
      <c r="A96" s="17">
        <f>Data_Feed_Daily!A96</f>
        <v/>
      </c>
      <c r="B96" s="25">
        <f>Data_Feed_Daily!H96</f>
        <v/>
      </c>
      <c r="C96" s="25">
        <f>Data_Feed_Daily!I96</f>
        <v/>
      </c>
      <c r="D96" s="25">
        <f>B96-C96</f>
        <v/>
      </c>
      <c r="E96" s="26">
        <f>ROUND(B96/(Assumptions!$C$5*Assumptions!$C$6/365), 2)</f>
        <v/>
      </c>
    </row>
    <row r="97">
      <c r="A97" s="19">
        <f>Data_Feed_Daily!A97</f>
        <v/>
      </c>
      <c r="B97" s="27">
        <f>Data_Feed_Daily!H97</f>
        <v/>
      </c>
      <c r="C97" s="27">
        <f>Data_Feed_Daily!I97</f>
        <v/>
      </c>
      <c r="D97" s="27">
        <f>B97-C97</f>
        <v/>
      </c>
      <c r="E97" s="28">
        <f>ROUND(B97/(Assumptions!$C$5*Assumptions!$C$6/365), 2)</f>
        <v/>
      </c>
    </row>
    <row r="98">
      <c r="A98" s="17">
        <f>Data_Feed_Daily!A98</f>
        <v/>
      </c>
      <c r="B98" s="25">
        <f>Data_Feed_Daily!H98</f>
        <v/>
      </c>
      <c r="C98" s="25">
        <f>Data_Feed_Daily!I98</f>
        <v/>
      </c>
      <c r="D98" s="25">
        <f>B98-C98</f>
        <v/>
      </c>
      <c r="E98" s="26">
        <f>ROUND(B98/(Assumptions!$C$5*Assumptions!$C$6/365), 2)</f>
        <v/>
      </c>
    </row>
    <row r="99">
      <c r="A99" s="19">
        <f>Data_Feed_Daily!A99</f>
        <v/>
      </c>
      <c r="B99" s="27">
        <f>Data_Feed_Daily!H99</f>
        <v/>
      </c>
      <c r="C99" s="27">
        <f>Data_Feed_Daily!I99</f>
        <v/>
      </c>
      <c r="D99" s="27">
        <f>B99-C99</f>
        <v/>
      </c>
      <c r="E99" s="28">
        <f>ROUND(B99/(Assumptions!$C$5*Assumptions!$C$6/365), 2)</f>
        <v/>
      </c>
    </row>
    <row r="100">
      <c r="A100" s="17">
        <f>Data_Feed_Daily!A100</f>
        <v/>
      </c>
      <c r="B100" s="25">
        <f>Data_Feed_Daily!H100</f>
        <v/>
      </c>
      <c r="C100" s="25">
        <f>Data_Feed_Daily!I100</f>
        <v/>
      </c>
      <c r="D100" s="25">
        <f>B100-C100</f>
        <v/>
      </c>
      <c r="E100" s="26">
        <f>ROUND(B100/(Assumptions!$C$5*Assumptions!$C$6/365), 2)</f>
        <v/>
      </c>
    </row>
    <row r="101">
      <c r="A101" s="19">
        <f>Data_Feed_Daily!A101</f>
        <v/>
      </c>
      <c r="B101" s="27">
        <f>Data_Feed_Daily!H101</f>
        <v/>
      </c>
      <c r="C101" s="27">
        <f>Data_Feed_Daily!I101</f>
        <v/>
      </c>
      <c r="D101" s="27">
        <f>B101-C101</f>
        <v/>
      </c>
      <c r="E101" s="28">
        <f>ROUND(B101/(Assumptions!$C$5*Assumptions!$C$6/365), 2)</f>
        <v/>
      </c>
    </row>
    <row r="102">
      <c r="A102" s="17">
        <f>Data_Feed_Daily!A102</f>
        <v/>
      </c>
      <c r="B102" s="25">
        <f>Data_Feed_Daily!H102</f>
        <v/>
      </c>
      <c r="C102" s="25">
        <f>Data_Feed_Daily!I102</f>
        <v/>
      </c>
      <c r="D102" s="25">
        <f>B102-C102</f>
        <v/>
      </c>
      <c r="E102" s="26">
        <f>ROUND(B102/(Assumptions!$C$5*Assumptions!$C$6/365), 2)</f>
        <v/>
      </c>
    </row>
    <row r="103">
      <c r="A103" s="19">
        <f>Data_Feed_Daily!A103</f>
        <v/>
      </c>
      <c r="B103" s="27">
        <f>Data_Feed_Daily!H103</f>
        <v/>
      </c>
      <c r="C103" s="27">
        <f>Data_Feed_Daily!I103</f>
        <v/>
      </c>
      <c r="D103" s="27">
        <f>B103-C103</f>
        <v/>
      </c>
      <c r="E103" s="28">
        <f>ROUND(B103/(Assumptions!$C$5*Assumptions!$C$6/365), 2)</f>
        <v/>
      </c>
    </row>
    <row r="104">
      <c r="A104" s="17">
        <f>Data_Feed_Daily!A104</f>
        <v/>
      </c>
      <c r="B104" s="25">
        <f>Data_Feed_Daily!H104</f>
        <v/>
      </c>
      <c r="C104" s="25">
        <f>Data_Feed_Daily!I104</f>
        <v/>
      </c>
      <c r="D104" s="25">
        <f>B104-C104</f>
        <v/>
      </c>
      <c r="E104" s="26">
        <f>ROUND(B104/(Assumptions!$C$5*Assumptions!$C$6/365), 2)</f>
        <v/>
      </c>
    </row>
    <row r="105">
      <c r="A105" s="19">
        <f>Data_Feed_Daily!A105</f>
        <v/>
      </c>
      <c r="B105" s="27">
        <f>Data_Feed_Daily!H105</f>
        <v/>
      </c>
      <c r="C105" s="27">
        <f>Data_Feed_Daily!I105</f>
        <v/>
      </c>
      <c r="D105" s="27">
        <f>B105-C105</f>
        <v/>
      </c>
      <c r="E105" s="28">
        <f>ROUND(B105/(Assumptions!$C$5*Assumptions!$C$6/365), 2)</f>
        <v/>
      </c>
    </row>
    <row r="106">
      <c r="A106" s="17">
        <f>Data_Feed_Daily!A106</f>
        <v/>
      </c>
      <c r="B106" s="25">
        <f>Data_Feed_Daily!H106</f>
        <v/>
      </c>
      <c r="C106" s="25">
        <f>Data_Feed_Daily!I106</f>
        <v/>
      </c>
      <c r="D106" s="25">
        <f>B106-C106</f>
        <v/>
      </c>
      <c r="E106" s="26">
        <f>ROUND(B106/(Assumptions!$C$5*Assumptions!$C$6/365), 2)</f>
        <v/>
      </c>
    </row>
    <row r="107">
      <c r="A107" s="19">
        <f>Data_Feed_Daily!A107</f>
        <v/>
      </c>
      <c r="B107" s="27">
        <f>Data_Feed_Daily!H107</f>
        <v/>
      </c>
      <c r="C107" s="27">
        <f>Data_Feed_Daily!I107</f>
        <v/>
      </c>
      <c r="D107" s="27">
        <f>B107-C107</f>
        <v/>
      </c>
      <c r="E107" s="28">
        <f>ROUND(B107/(Assumptions!$C$5*Assumptions!$C$6/365), 2)</f>
        <v/>
      </c>
    </row>
    <row r="108">
      <c r="A108" s="17">
        <f>Data_Feed_Daily!A108</f>
        <v/>
      </c>
      <c r="B108" s="25">
        <f>Data_Feed_Daily!H108</f>
        <v/>
      </c>
      <c r="C108" s="25">
        <f>Data_Feed_Daily!I108</f>
        <v/>
      </c>
      <c r="D108" s="25">
        <f>B108-C108</f>
        <v/>
      </c>
      <c r="E108" s="26">
        <f>ROUND(B108/(Assumptions!$C$5*Assumptions!$C$6/365), 2)</f>
        <v/>
      </c>
    </row>
    <row r="109">
      <c r="A109" s="19">
        <f>Data_Feed_Daily!A109</f>
        <v/>
      </c>
      <c r="B109" s="27">
        <f>Data_Feed_Daily!H109</f>
        <v/>
      </c>
      <c r="C109" s="27">
        <f>Data_Feed_Daily!I109</f>
        <v/>
      </c>
      <c r="D109" s="27">
        <f>B109-C109</f>
        <v/>
      </c>
      <c r="E109" s="28">
        <f>ROUND(B109/(Assumptions!$C$5*Assumptions!$C$6/365), 2)</f>
        <v/>
      </c>
    </row>
    <row r="110">
      <c r="A110" s="17">
        <f>Data_Feed_Daily!A110</f>
        <v/>
      </c>
      <c r="B110" s="25">
        <f>Data_Feed_Daily!H110</f>
        <v/>
      </c>
      <c r="C110" s="25">
        <f>Data_Feed_Daily!I110</f>
        <v/>
      </c>
      <c r="D110" s="25">
        <f>B110-C110</f>
        <v/>
      </c>
      <c r="E110" s="26">
        <f>ROUND(B110/(Assumptions!$C$5*Assumptions!$C$6/365), 2)</f>
        <v/>
      </c>
    </row>
    <row r="111">
      <c r="A111" s="19">
        <f>Data_Feed_Daily!A111</f>
        <v/>
      </c>
      <c r="B111" s="27">
        <f>Data_Feed_Daily!H111</f>
        <v/>
      </c>
      <c r="C111" s="27">
        <f>Data_Feed_Daily!I111</f>
        <v/>
      </c>
      <c r="D111" s="27">
        <f>B111-C111</f>
        <v/>
      </c>
      <c r="E111" s="28">
        <f>ROUND(B111/(Assumptions!$C$5*Assumptions!$C$6/365), 2)</f>
        <v/>
      </c>
    </row>
    <row r="112">
      <c r="A112" s="17">
        <f>Data_Feed_Daily!A112</f>
        <v/>
      </c>
      <c r="B112" s="25">
        <f>Data_Feed_Daily!H112</f>
        <v/>
      </c>
      <c r="C112" s="25">
        <f>Data_Feed_Daily!I112</f>
        <v/>
      </c>
      <c r="D112" s="25">
        <f>B112-C112</f>
        <v/>
      </c>
      <c r="E112" s="26">
        <f>ROUND(B112/(Assumptions!$C$5*Assumptions!$C$6/365), 2)</f>
        <v/>
      </c>
    </row>
    <row r="113">
      <c r="A113" s="19">
        <f>Data_Feed_Daily!A113</f>
        <v/>
      </c>
      <c r="B113" s="27">
        <f>Data_Feed_Daily!H113</f>
        <v/>
      </c>
      <c r="C113" s="27">
        <f>Data_Feed_Daily!I113</f>
        <v/>
      </c>
      <c r="D113" s="27">
        <f>B113-C113</f>
        <v/>
      </c>
      <c r="E113" s="28">
        <f>ROUND(B113/(Assumptions!$C$5*Assumptions!$C$6/365), 2)</f>
        <v/>
      </c>
    </row>
    <row r="114">
      <c r="A114" s="17">
        <f>Data_Feed_Daily!A114</f>
        <v/>
      </c>
      <c r="B114" s="25">
        <f>Data_Feed_Daily!H114</f>
        <v/>
      </c>
      <c r="C114" s="25">
        <f>Data_Feed_Daily!I114</f>
        <v/>
      </c>
      <c r="D114" s="25">
        <f>B114-C114</f>
        <v/>
      </c>
      <c r="E114" s="26">
        <f>ROUND(B114/(Assumptions!$C$5*Assumptions!$C$6/365), 2)</f>
        <v/>
      </c>
    </row>
    <row r="115">
      <c r="A115" s="19">
        <f>Data_Feed_Daily!A115</f>
        <v/>
      </c>
      <c r="B115" s="27">
        <f>Data_Feed_Daily!H115</f>
        <v/>
      </c>
      <c r="C115" s="27">
        <f>Data_Feed_Daily!I115</f>
        <v/>
      </c>
      <c r="D115" s="27">
        <f>B115-C115</f>
        <v/>
      </c>
      <c r="E115" s="28">
        <f>ROUND(B115/(Assumptions!$C$5*Assumptions!$C$6/365), 2)</f>
        <v/>
      </c>
    </row>
    <row r="116">
      <c r="A116" s="17">
        <f>Data_Feed_Daily!A116</f>
        <v/>
      </c>
      <c r="B116" s="25">
        <f>Data_Feed_Daily!H116</f>
        <v/>
      </c>
      <c r="C116" s="25">
        <f>Data_Feed_Daily!I116</f>
        <v/>
      </c>
      <c r="D116" s="25">
        <f>B116-C116</f>
        <v/>
      </c>
      <c r="E116" s="26">
        <f>ROUND(B116/(Assumptions!$C$5*Assumptions!$C$6/365), 2)</f>
        <v/>
      </c>
    </row>
    <row r="117">
      <c r="A117" s="19">
        <f>Data_Feed_Daily!A117</f>
        <v/>
      </c>
      <c r="B117" s="27">
        <f>Data_Feed_Daily!H117</f>
        <v/>
      </c>
      <c r="C117" s="27">
        <f>Data_Feed_Daily!I117</f>
        <v/>
      </c>
      <c r="D117" s="27">
        <f>B117-C117</f>
        <v/>
      </c>
      <c r="E117" s="28">
        <f>ROUND(B117/(Assumptions!$C$5*Assumptions!$C$6/365), 2)</f>
        <v/>
      </c>
    </row>
    <row r="118">
      <c r="A118" s="17">
        <f>Data_Feed_Daily!A118</f>
        <v/>
      </c>
      <c r="B118" s="25">
        <f>Data_Feed_Daily!H118</f>
        <v/>
      </c>
      <c r="C118" s="25">
        <f>Data_Feed_Daily!I118</f>
        <v/>
      </c>
      <c r="D118" s="25">
        <f>B118-C118</f>
        <v/>
      </c>
      <c r="E118" s="26">
        <f>ROUND(B118/(Assumptions!$C$5*Assumptions!$C$6/365), 2)</f>
        <v/>
      </c>
    </row>
    <row r="119">
      <c r="A119" s="19">
        <f>Data_Feed_Daily!A119</f>
        <v/>
      </c>
      <c r="B119" s="27">
        <f>Data_Feed_Daily!H119</f>
        <v/>
      </c>
      <c r="C119" s="27">
        <f>Data_Feed_Daily!I119</f>
        <v/>
      </c>
      <c r="D119" s="27">
        <f>B119-C119</f>
        <v/>
      </c>
      <c r="E119" s="28">
        <f>ROUND(B119/(Assumptions!$C$5*Assumptions!$C$6/365), 2)</f>
        <v/>
      </c>
    </row>
    <row r="120">
      <c r="A120" s="17">
        <f>Data_Feed_Daily!A120</f>
        <v/>
      </c>
      <c r="B120" s="25">
        <f>Data_Feed_Daily!H120</f>
        <v/>
      </c>
      <c r="C120" s="25">
        <f>Data_Feed_Daily!I120</f>
        <v/>
      </c>
      <c r="D120" s="25">
        <f>B120-C120</f>
        <v/>
      </c>
      <c r="E120" s="26">
        <f>ROUND(B120/(Assumptions!$C$5*Assumptions!$C$6/365), 2)</f>
        <v/>
      </c>
    </row>
    <row r="121">
      <c r="A121" s="19">
        <f>Data_Feed_Daily!A121</f>
        <v/>
      </c>
      <c r="B121" s="27">
        <f>Data_Feed_Daily!H121</f>
        <v/>
      </c>
      <c r="C121" s="27">
        <f>Data_Feed_Daily!I121</f>
        <v/>
      </c>
      <c r="D121" s="27">
        <f>B121-C121</f>
        <v/>
      </c>
      <c r="E121" s="28">
        <f>ROUND(B121/(Assumptions!$C$5*Assumptions!$C$6/365), 2)</f>
        <v/>
      </c>
    </row>
    <row r="122">
      <c r="A122" s="17">
        <f>Data_Feed_Daily!A122</f>
        <v/>
      </c>
      <c r="B122" s="25">
        <f>Data_Feed_Daily!H122</f>
        <v/>
      </c>
      <c r="C122" s="25">
        <f>Data_Feed_Daily!I122</f>
        <v/>
      </c>
      <c r="D122" s="25">
        <f>B122-C122</f>
        <v/>
      </c>
      <c r="E122" s="26">
        <f>ROUND(B122/(Assumptions!$C$5*Assumptions!$C$6/365), 2)</f>
        <v/>
      </c>
    </row>
    <row r="123">
      <c r="A123" s="19">
        <f>Data_Feed_Daily!A123</f>
        <v/>
      </c>
      <c r="B123" s="27">
        <f>Data_Feed_Daily!H123</f>
        <v/>
      </c>
      <c r="C123" s="27">
        <f>Data_Feed_Daily!I123</f>
        <v/>
      </c>
      <c r="D123" s="27">
        <f>B123-C123</f>
        <v/>
      </c>
      <c r="E123" s="28">
        <f>ROUND(B123/(Assumptions!$C$5*Assumptions!$C$6/365), 2)</f>
        <v/>
      </c>
    </row>
    <row r="124">
      <c r="A124" s="17">
        <f>Data_Feed_Daily!A124</f>
        <v/>
      </c>
      <c r="B124" s="25">
        <f>Data_Feed_Daily!H124</f>
        <v/>
      </c>
      <c r="C124" s="25">
        <f>Data_Feed_Daily!I124</f>
        <v/>
      </c>
      <c r="D124" s="25">
        <f>B124-C124</f>
        <v/>
      </c>
      <c r="E124" s="26">
        <f>ROUND(B124/(Assumptions!$C$5*Assumptions!$C$6/365), 2)</f>
        <v/>
      </c>
    </row>
    <row r="125">
      <c r="A125" s="19">
        <f>Data_Feed_Daily!A125</f>
        <v/>
      </c>
      <c r="B125" s="27">
        <f>Data_Feed_Daily!H125</f>
        <v/>
      </c>
      <c r="C125" s="27">
        <f>Data_Feed_Daily!I125</f>
        <v/>
      </c>
      <c r="D125" s="27">
        <f>B125-C125</f>
        <v/>
      </c>
      <c r="E125" s="28">
        <f>ROUND(B125/(Assumptions!$C$5*Assumptions!$C$6/365), 2)</f>
        <v/>
      </c>
    </row>
    <row r="126">
      <c r="A126" s="17">
        <f>Data_Feed_Daily!A126</f>
        <v/>
      </c>
      <c r="B126" s="25">
        <f>Data_Feed_Daily!H126</f>
        <v/>
      </c>
      <c r="C126" s="25">
        <f>Data_Feed_Daily!I126</f>
        <v/>
      </c>
      <c r="D126" s="25">
        <f>B126-C126</f>
        <v/>
      </c>
      <c r="E126" s="26">
        <f>ROUND(B126/(Assumptions!$C$5*Assumptions!$C$6/365), 2)</f>
        <v/>
      </c>
    </row>
    <row r="127">
      <c r="A127" s="19">
        <f>Data_Feed_Daily!A127</f>
        <v/>
      </c>
      <c r="B127" s="27">
        <f>Data_Feed_Daily!H127</f>
        <v/>
      </c>
      <c r="C127" s="27">
        <f>Data_Feed_Daily!I127</f>
        <v/>
      </c>
      <c r="D127" s="27">
        <f>B127-C127</f>
        <v/>
      </c>
      <c r="E127" s="28">
        <f>ROUND(B127/(Assumptions!$C$5*Assumptions!$C$6/365), 2)</f>
        <v/>
      </c>
    </row>
    <row r="128">
      <c r="A128" s="17">
        <f>Data_Feed_Daily!A128</f>
        <v/>
      </c>
      <c r="B128" s="25">
        <f>Data_Feed_Daily!H128</f>
        <v/>
      </c>
      <c r="C128" s="25">
        <f>Data_Feed_Daily!I128</f>
        <v/>
      </c>
      <c r="D128" s="25">
        <f>B128-C128</f>
        <v/>
      </c>
      <c r="E128" s="26">
        <f>ROUND(B128/(Assumptions!$C$5*Assumptions!$C$6/365), 2)</f>
        <v/>
      </c>
    </row>
    <row r="129">
      <c r="A129" s="19">
        <f>Data_Feed_Daily!A129</f>
        <v/>
      </c>
      <c r="B129" s="27">
        <f>Data_Feed_Daily!H129</f>
        <v/>
      </c>
      <c r="C129" s="27">
        <f>Data_Feed_Daily!I129</f>
        <v/>
      </c>
      <c r="D129" s="27">
        <f>B129-C129</f>
        <v/>
      </c>
      <c r="E129" s="28">
        <f>ROUND(B129/(Assumptions!$C$5*Assumptions!$C$6/365), 2)</f>
        <v/>
      </c>
    </row>
    <row r="130">
      <c r="A130" s="17">
        <f>Data_Feed_Daily!A130</f>
        <v/>
      </c>
      <c r="B130" s="25">
        <f>Data_Feed_Daily!H130</f>
        <v/>
      </c>
      <c r="C130" s="25">
        <f>Data_Feed_Daily!I130</f>
        <v/>
      </c>
      <c r="D130" s="25">
        <f>B130-C130</f>
        <v/>
      </c>
      <c r="E130" s="26">
        <f>ROUND(B130/(Assumptions!$C$5*Assumptions!$C$6/365), 2)</f>
        <v/>
      </c>
    </row>
    <row r="131">
      <c r="A131" s="19">
        <f>Data_Feed_Daily!A131</f>
        <v/>
      </c>
      <c r="B131" s="27">
        <f>Data_Feed_Daily!H131</f>
        <v/>
      </c>
      <c r="C131" s="27">
        <f>Data_Feed_Daily!I131</f>
        <v/>
      </c>
      <c r="D131" s="27">
        <f>B131-C131</f>
        <v/>
      </c>
      <c r="E131" s="28">
        <f>ROUND(B131/(Assumptions!$C$5*Assumptions!$C$6/365), 2)</f>
        <v/>
      </c>
    </row>
    <row r="132">
      <c r="A132" s="17">
        <f>Data_Feed_Daily!A132</f>
        <v/>
      </c>
      <c r="B132" s="25">
        <f>Data_Feed_Daily!H132</f>
        <v/>
      </c>
      <c r="C132" s="25">
        <f>Data_Feed_Daily!I132</f>
        <v/>
      </c>
      <c r="D132" s="25">
        <f>B132-C132</f>
        <v/>
      </c>
      <c r="E132" s="26">
        <f>ROUND(B132/(Assumptions!$C$5*Assumptions!$C$6/365), 2)</f>
        <v/>
      </c>
    </row>
    <row r="133">
      <c r="A133" s="19">
        <f>Data_Feed_Daily!A133</f>
        <v/>
      </c>
      <c r="B133" s="27">
        <f>Data_Feed_Daily!H133</f>
        <v/>
      </c>
      <c r="C133" s="27">
        <f>Data_Feed_Daily!I133</f>
        <v/>
      </c>
      <c r="D133" s="27">
        <f>B133-C133</f>
        <v/>
      </c>
      <c r="E133" s="28">
        <f>ROUND(B133/(Assumptions!$C$5*Assumptions!$C$6/365), 2)</f>
        <v/>
      </c>
    </row>
    <row r="134">
      <c r="A134" s="17">
        <f>Data_Feed_Daily!A134</f>
        <v/>
      </c>
      <c r="B134" s="25">
        <f>Data_Feed_Daily!H134</f>
        <v/>
      </c>
      <c r="C134" s="25">
        <f>Data_Feed_Daily!I134</f>
        <v/>
      </c>
      <c r="D134" s="25">
        <f>B134-C134</f>
        <v/>
      </c>
      <c r="E134" s="26">
        <f>ROUND(B134/(Assumptions!$C$5*Assumptions!$C$6/365), 2)</f>
        <v/>
      </c>
    </row>
    <row r="135">
      <c r="A135" s="19">
        <f>Data_Feed_Daily!A135</f>
        <v/>
      </c>
      <c r="B135" s="27">
        <f>Data_Feed_Daily!H135</f>
        <v/>
      </c>
      <c r="C135" s="27">
        <f>Data_Feed_Daily!I135</f>
        <v/>
      </c>
      <c r="D135" s="27">
        <f>B135-C135</f>
        <v/>
      </c>
      <c r="E135" s="28">
        <f>ROUND(B135/(Assumptions!$C$5*Assumptions!$C$6/365), 2)</f>
        <v/>
      </c>
    </row>
    <row r="136">
      <c r="A136" s="17">
        <f>Data_Feed_Daily!A136</f>
        <v/>
      </c>
      <c r="B136" s="25">
        <f>Data_Feed_Daily!H136</f>
        <v/>
      </c>
      <c r="C136" s="25">
        <f>Data_Feed_Daily!I136</f>
        <v/>
      </c>
      <c r="D136" s="25">
        <f>B136-C136</f>
        <v/>
      </c>
      <c r="E136" s="26">
        <f>ROUND(B136/(Assumptions!$C$5*Assumptions!$C$6/365), 2)</f>
        <v/>
      </c>
    </row>
    <row r="137">
      <c r="A137" s="19">
        <f>Data_Feed_Daily!A137</f>
        <v/>
      </c>
      <c r="B137" s="27">
        <f>Data_Feed_Daily!H137</f>
        <v/>
      </c>
      <c r="C137" s="27">
        <f>Data_Feed_Daily!I137</f>
        <v/>
      </c>
      <c r="D137" s="27">
        <f>B137-C137</f>
        <v/>
      </c>
      <c r="E137" s="28">
        <f>ROUND(B137/(Assumptions!$C$5*Assumptions!$C$6/365), 2)</f>
        <v/>
      </c>
    </row>
    <row r="138">
      <c r="A138" s="17">
        <f>Data_Feed_Daily!A138</f>
        <v/>
      </c>
      <c r="B138" s="25">
        <f>Data_Feed_Daily!H138</f>
        <v/>
      </c>
      <c r="C138" s="25">
        <f>Data_Feed_Daily!I138</f>
        <v/>
      </c>
      <c r="D138" s="25">
        <f>B138-C138</f>
        <v/>
      </c>
      <c r="E138" s="26">
        <f>ROUND(B138/(Assumptions!$C$5*Assumptions!$C$6/365), 2)</f>
        <v/>
      </c>
    </row>
    <row r="139">
      <c r="A139" s="19">
        <f>Data_Feed_Daily!A139</f>
        <v/>
      </c>
      <c r="B139" s="27">
        <f>Data_Feed_Daily!H139</f>
        <v/>
      </c>
      <c r="C139" s="27">
        <f>Data_Feed_Daily!I139</f>
        <v/>
      </c>
      <c r="D139" s="27">
        <f>B139-C139</f>
        <v/>
      </c>
      <c r="E139" s="28">
        <f>ROUND(B139/(Assumptions!$C$5*Assumptions!$C$6/365), 2)</f>
        <v/>
      </c>
    </row>
    <row r="140">
      <c r="A140" s="17">
        <f>Data_Feed_Daily!A140</f>
        <v/>
      </c>
      <c r="B140" s="25">
        <f>Data_Feed_Daily!H140</f>
        <v/>
      </c>
      <c r="C140" s="25">
        <f>Data_Feed_Daily!I140</f>
        <v/>
      </c>
      <c r="D140" s="25">
        <f>B140-C140</f>
        <v/>
      </c>
      <c r="E140" s="26">
        <f>ROUND(B140/(Assumptions!$C$5*Assumptions!$C$6/365), 2)</f>
        <v/>
      </c>
    </row>
    <row r="141">
      <c r="A141" s="19">
        <f>Data_Feed_Daily!A141</f>
        <v/>
      </c>
      <c r="B141" s="27">
        <f>Data_Feed_Daily!H141</f>
        <v/>
      </c>
      <c r="C141" s="27">
        <f>Data_Feed_Daily!I141</f>
        <v/>
      </c>
      <c r="D141" s="27">
        <f>B141-C141</f>
        <v/>
      </c>
      <c r="E141" s="28">
        <f>ROUND(B141/(Assumptions!$C$5*Assumptions!$C$6/365), 2)</f>
        <v/>
      </c>
    </row>
    <row r="142">
      <c r="A142" s="17">
        <f>Data_Feed_Daily!A142</f>
        <v/>
      </c>
      <c r="B142" s="25">
        <f>Data_Feed_Daily!H142</f>
        <v/>
      </c>
      <c r="C142" s="25">
        <f>Data_Feed_Daily!I142</f>
        <v/>
      </c>
      <c r="D142" s="25">
        <f>B142-C142</f>
        <v/>
      </c>
      <c r="E142" s="26">
        <f>ROUND(B142/(Assumptions!$C$5*Assumptions!$C$6/365), 2)</f>
        <v/>
      </c>
    </row>
    <row r="143">
      <c r="A143" s="19">
        <f>Data_Feed_Daily!A143</f>
        <v/>
      </c>
      <c r="B143" s="27">
        <f>Data_Feed_Daily!H143</f>
        <v/>
      </c>
      <c r="C143" s="27">
        <f>Data_Feed_Daily!I143</f>
        <v/>
      </c>
      <c r="D143" s="27">
        <f>B143-C143</f>
        <v/>
      </c>
      <c r="E143" s="28">
        <f>ROUND(B143/(Assumptions!$C$5*Assumptions!$C$6/365), 2)</f>
        <v/>
      </c>
    </row>
    <row r="144">
      <c r="A144" s="17">
        <f>Data_Feed_Daily!A144</f>
        <v/>
      </c>
      <c r="B144" s="25">
        <f>Data_Feed_Daily!H144</f>
        <v/>
      </c>
      <c r="C144" s="25">
        <f>Data_Feed_Daily!I144</f>
        <v/>
      </c>
      <c r="D144" s="25">
        <f>B144-C144</f>
        <v/>
      </c>
      <c r="E144" s="26">
        <f>ROUND(B144/(Assumptions!$C$5*Assumptions!$C$6/365), 2)</f>
        <v/>
      </c>
    </row>
    <row r="145">
      <c r="A145" s="19">
        <f>Data_Feed_Daily!A145</f>
        <v/>
      </c>
      <c r="B145" s="27">
        <f>Data_Feed_Daily!H145</f>
        <v/>
      </c>
      <c r="C145" s="27">
        <f>Data_Feed_Daily!I145</f>
        <v/>
      </c>
      <c r="D145" s="27">
        <f>B145-C145</f>
        <v/>
      </c>
      <c r="E145" s="28">
        <f>ROUND(B145/(Assumptions!$C$5*Assumptions!$C$6/365), 2)</f>
        <v/>
      </c>
    </row>
    <row r="146">
      <c r="A146" s="17">
        <f>Data_Feed_Daily!A146</f>
        <v/>
      </c>
      <c r="B146" s="25">
        <f>Data_Feed_Daily!H146</f>
        <v/>
      </c>
      <c r="C146" s="25">
        <f>Data_Feed_Daily!I146</f>
        <v/>
      </c>
      <c r="D146" s="25">
        <f>B146-C146</f>
        <v/>
      </c>
      <c r="E146" s="26">
        <f>ROUND(B146/(Assumptions!$C$5*Assumptions!$C$6/365), 2)</f>
        <v/>
      </c>
    </row>
    <row r="147">
      <c r="A147" s="19">
        <f>Data_Feed_Daily!A147</f>
        <v/>
      </c>
      <c r="B147" s="27">
        <f>Data_Feed_Daily!H147</f>
        <v/>
      </c>
      <c r="C147" s="27">
        <f>Data_Feed_Daily!I147</f>
        <v/>
      </c>
      <c r="D147" s="27">
        <f>B147-C147</f>
        <v/>
      </c>
      <c r="E147" s="28">
        <f>ROUND(B147/(Assumptions!$C$5*Assumptions!$C$6/365), 2)</f>
        <v/>
      </c>
    </row>
    <row r="148">
      <c r="A148" s="17">
        <f>Data_Feed_Daily!A148</f>
        <v/>
      </c>
      <c r="B148" s="25">
        <f>Data_Feed_Daily!H148</f>
        <v/>
      </c>
      <c r="C148" s="25">
        <f>Data_Feed_Daily!I148</f>
        <v/>
      </c>
      <c r="D148" s="25">
        <f>B148-C148</f>
        <v/>
      </c>
      <c r="E148" s="26">
        <f>ROUND(B148/(Assumptions!$C$5*Assumptions!$C$6/365), 2)</f>
        <v/>
      </c>
    </row>
    <row r="149">
      <c r="A149" s="19">
        <f>Data_Feed_Daily!A149</f>
        <v/>
      </c>
      <c r="B149" s="27">
        <f>Data_Feed_Daily!H149</f>
        <v/>
      </c>
      <c r="C149" s="27">
        <f>Data_Feed_Daily!I149</f>
        <v/>
      </c>
      <c r="D149" s="27">
        <f>B149-C149</f>
        <v/>
      </c>
      <c r="E149" s="28">
        <f>ROUND(B149/(Assumptions!$C$5*Assumptions!$C$6/365), 2)</f>
        <v/>
      </c>
    </row>
    <row r="150">
      <c r="A150" s="17">
        <f>Data_Feed_Daily!A150</f>
        <v/>
      </c>
      <c r="B150" s="25">
        <f>Data_Feed_Daily!H150</f>
        <v/>
      </c>
      <c r="C150" s="25">
        <f>Data_Feed_Daily!I150</f>
        <v/>
      </c>
      <c r="D150" s="25">
        <f>B150-C150</f>
        <v/>
      </c>
      <c r="E150" s="26">
        <f>ROUND(B150/(Assumptions!$C$5*Assumptions!$C$6/365), 2)</f>
        <v/>
      </c>
    </row>
    <row r="151">
      <c r="A151" s="19">
        <f>Data_Feed_Daily!A151</f>
        <v/>
      </c>
      <c r="B151" s="27">
        <f>Data_Feed_Daily!H151</f>
        <v/>
      </c>
      <c r="C151" s="27">
        <f>Data_Feed_Daily!I151</f>
        <v/>
      </c>
      <c r="D151" s="27">
        <f>B151-C151</f>
        <v/>
      </c>
      <c r="E151" s="28">
        <f>ROUND(B151/(Assumptions!$C$5*Assumptions!$C$6/365), 2)</f>
        <v/>
      </c>
    </row>
    <row r="152">
      <c r="A152" s="23" t="inlineStr">
        <is>
          <t>AVERAGE / HORIZON PEAK</t>
        </is>
      </c>
      <c r="B152" s="24">
        <f>MAX(B2:B151)</f>
        <v/>
      </c>
      <c r="C152" s="24">
        <f>MAX(C2:C151)</f>
        <v/>
      </c>
      <c r="D152" s="24">
        <f>AVERAGE(D2:D151)</f>
        <v/>
      </c>
      <c r="E152" s="29">
        <f>AVERAGE(E2:E151)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77" customWidth="1" min="3" max="3"/>
    <col width="33" customWidth="1" min="4" max="4"/>
    <col width="95" customWidth="1" min="5" max="5"/>
    <col width="25" customWidth="1" min="6" max="6"/>
    <col width="55" customWidth="1" min="7" max="7"/>
    <col width="19" customWidth="1" min="8" max="8"/>
  </cols>
  <sheetData>
    <row r="1" ht="25" customHeight="1">
      <c r="A1" s="11" t="inlineStr">
        <is>
          <t>Ledger Date</t>
        </is>
      </c>
      <c r="B1" s="11" t="inlineStr">
        <is>
          <t>Total HQLA Level 1 (Cash)</t>
        </is>
      </c>
      <c r="C1" s="11" t="inlineStr">
        <is>
          <t>Stressed 30d Outflows (30% overlay)</t>
        </is>
      </c>
      <c r="D1" s="11" t="inlineStr">
        <is>
          <t>Basel III LCR Ratio</t>
        </is>
      </c>
      <c r="E1" s="11" t="inlineStr">
        <is>
          <t>Compliance Status</t>
        </is>
      </c>
      <c r="F1" s="11" t="inlineStr">
        <is>
          <t>Daily Authorized GPV</t>
        </is>
      </c>
      <c r="G1" s="11" t="inlineStr">
        <is>
          <t>Daily CECL Credit Loss Provision</t>
        </is>
      </c>
      <c r="H1" s="11" t="inlineStr">
        <is>
          <t>Cumulative CECL Credit Allowance</t>
        </is>
      </c>
    </row>
    <row r="2">
      <c r="A2" s="17">
        <f>'Daily_Cash_Waterfall'!A2</f>
        <v/>
      </c>
      <c r="B2" s="25">
        <f>'Daily_Cash_Waterfall'!O2</f>
        <v/>
      </c>
      <c r="C2" s="25">
        <f>ROUND(AVERAGE('Daily_Cash_Waterfall'!$D$2:D2)*30*Assumptions!$C$22, 2)</f>
        <v/>
      </c>
      <c r="D2" s="12">
        <f>IF(C2&gt;0, B2/C2, 999.0)</f>
        <v/>
      </c>
      <c r="E2" s="17">
        <f>IF(D2&gt;=Assumptions!$C$23, "COMPLIANT", IF(D2&gt;=Assumptions!$C$24, "WARNING", "BREACH"))</f>
        <v/>
      </c>
      <c r="F2" s="25">
        <f>Data_Feed_Daily!B2</f>
        <v/>
      </c>
      <c r="G2" s="25">
        <f>ROUND(F2*Assumptions!$C$20*Assumptions!$C$21, 2)</f>
        <v/>
      </c>
      <c r="H2" s="25">
        <f>SUM($G$2:G2)</f>
        <v/>
      </c>
    </row>
    <row r="3">
      <c r="A3" s="19">
        <f>'Daily_Cash_Waterfall'!A3</f>
        <v/>
      </c>
      <c r="B3" s="27">
        <f>'Daily_Cash_Waterfall'!O3</f>
        <v/>
      </c>
      <c r="C3" s="27">
        <f>ROUND(AVERAGE('Daily_Cash_Waterfall'!$D$2:D3)*30*Assumptions!$C$22, 2)</f>
        <v/>
      </c>
      <c r="D3" s="30">
        <f>IF(C3&gt;0, B3/C3, 999.0)</f>
        <v/>
      </c>
      <c r="E3" s="19">
        <f>IF(D3&gt;=Assumptions!$C$23, "COMPLIANT", IF(D3&gt;=Assumptions!$C$24, "WARNING", "BREACH"))</f>
        <v/>
      </c>
      <c r="F3" s="27">
        <f>Data_Feed_Daily!B3</f>
        <v/>
      </c>
      <c r="G3" s="27">
        <f>ROUND(F3*Assumptions!$C$20*Assumptions!$C$21, 2)</f>
        <v/>
      </c>
      <c r="H3" s="27">
        <f>SUM($G$2:G3)</f>
        <v/>
      </c>
    </row>
    <row r="4">
      <c r="A4" s="17">
        <f>'Daily_Cash_Waterfall'!A4</f>
        <v/>
      </c>
      <c r="B4" s="25">
        <f>'Daily_Cash_Waterfall'!O4</f>
        <v/>
      </c>
      <c r="C4" s="25">
        <f>ROUND(AVERAGE('Daily_Cash_Waterfall'!$D$2:D4)*30*Assumptions!$C$22, 2)</f>
        <v/>
      </c>
      <c r="D4" s="12">
        <f>IF(C4&gt;0, B4/C4, 999.0)</f>
        <v/>
      </c>
      <c r="E4" s="17">
        <f>IF(D4&gt;=Assumptions!$C$23, "COMPLIANT", IF(D4&gt;=Assumptions!$C$24, "WARNING", "BREACH"))</f>
        <v/>
      </c>
      <c r="F4" s="25">
        <f>Data_Feed_Daily!B4</f>
        <v/>
      </c>
      <c r="G4" s="25">
        <f>ROUND(F4*Assumptions!$C$20*Assumptions!$C$21, 2)</f>
        <v/>
      </c>
      <c r="H4" s="25">
        <f>SUM($G$2:G4)</f>
        <v/>
      </c>
    </row>
    <row r="5">
      <c r="A5" s="19">
        <f>'Daily_Cash_Waterfall'!A5</f>
        <v/>
      </c>
      <c r="B5" s="27">
        <f>'Daily_Cash_Waterfall'!O5</f>
        <v/>
      </c>
      <c r="C5" s="27">
        <f>ROUND(AVERAGE('Daily_Cash_Waterfall'!$D$2:D5)*30*Assumptions!$C$22, 2)</f>
        <v/>
      </c>
      <c r="D5" s="30">
        <f>IF(C5&gt;0, B5/C5, 999.0)</f>
        <v/>
      </c>
      <c r="E5" s="19">
        <f>IF(D5&gt;=Assumptions!$C$23, "COMPLIANT", IF(D5&gt;=Assumptions!$C$24, "WARNING", "BREACH"))</f>
        <v/>
      </c>
      <c r="F5" s="27">
        <f>Data_Feed_Daily!B5</f>
        <v/>
      </c>
      <c r="G5" s="27">
        <f>ROUND(F5*Assumptions!$C$20*Assumptions!$C$21, 2)</f>
        <v/>
      </c>
      <c r="H5" s="27">
        <f>SUM($G$2:G5)</f>
        <v/>
      </c>
    </row>
    <row r="6">
      <c r="A6" s="17">
        <f>'Daily_Cash_Waterfall'!A6</f>
        <v/>
      </c>
      <c r="B6" s="25">
        <f>'Daily_Cash_Waterfall'!O6</f>
        <v/>
      </c>
      <c r="C6" s="25">
        <f>ROUND(AVERAGE('Daily_Cash_Waterfall'!$D$2:D6)*30*Assumptions!$C$22, 2)</f>
        <v/>
      </c>
      <c r="D6" s="12">
        <f>IF(C6&gt;0, B6/C6, 999.0)</f>
        <v/>
      </c>
      <c r="E6" s="17">
        <f>IF(D6&gt;=Assumptions!$C$23, "COMPLIANT", IF(D6&gt;=Assumptions!$C$24, "WARNING", "BREACH"))</f>
        <v/>
      </c>
      <c r="F6" s="25">
        <f>Data_Feed_Daily!B6</f>
        <v/>
      </c>
      <c r="G6" s="25">
        <f>ROUND(F6*Assumptions!$C$20*Assumptions!$C$21, 2)</f>
        <v/>
      </c>
      <c r="H6" s="25">
        <f>SUM($G$2:G6)</f>
        <v/>
      </c>
    </row>
    <row r="7">
      <c r="A7" s="19">
        <f>'Daily_Cash_Waterfall'!A7</f>
        <v/>
      </c>
      <c r="B7" s="27">
        <f>'Daily_Cash_Waterfall'!O7</f>
        <v/>
      </c>
      <c r="C7" s="27">
        <f>ROUND(AVERAGE('Daily_Cash_Waterfall'!$D$2:D7)*30*Assumptions!$C$22, 2)</f>
        <v/>
      </c>
      <c r="D7" s="30">
        <f>IF(C7&gt;0, B7/C7, 999.0)</f>
        <v/>
      </c>
      <c r="E7" s="19">
        <f>IF(D7&gt;=Assumptions!$C$23, "COMPLIANT", IF(D7&gt;=Assumptions!$C$24, "WARNING", "BREACH"))</f>
        <v/>
      </c>
      <c r="F7" s="27">
        <f>Data_Feed_Daily!B7</f>
        <v/>
      </c>
      <c r="G7" s="27">
        <f>ROUND(F7*Assumptions!$C$20*Assumptions!$C$21, 2)</f>
        <v/>
      </c>
      <c r="H7" s="27">
        <f>SUM($G$2:G7)</f>
        <v/>
      </c>
    </row>
    <row r="8">
      <c r="A8" s="17">
        <f>'Daily_Cash_Waterfall'!A8</f>
        <v/>
      </c>
      <c r="B8" s="25">
        <f>'Daily_Cash_Waterfall'!O8</f>
        <v/>
      </c>
      <c r="C8" s="25">
        <f>ROUND(AVERAGE('Daily_Cash_Waterfall'!$D$2:D8)*30*Assumptions!$C$22, 2)</f>
        <v/>
      </c>
      <c r="D8" s="12">
        <f>IF(C8&gt;0, B8/C8, 999.0)</f>
        <v/>
      </c>
      <c r="E8" s="17">
        <f>IF(D8&gt;=Assumptions!$C$23, "COMPLIANT", IF(D8&gt;=Assumptions!$C$24, "WARNING", "BREACH"))</f>
        <v/>
      </c>
      <c r="F8" s="25">
        <f>Data_Feed_Daily!B8</f>
        <v/>
      </c>
      <c r="G8" s="25">
        <f>ROUND(F8*Assumptions!$C$20*Assumptions!$C$21, 2)</f>
        <v/>
      </c>
      <c r="H8" s="25">
        <f>SUM($G$2:G8)</f>
        <v/>
      </c>
    </row>
    <row r="9">
      <c r="A9" s="19">
        <f>'Daily_Cash_Waterfall'!A9</f>
        <v/>
      </c>
      <c r="B9" s="27">
        <f>'Daily_Cash_Waterfall'!O9</f>
        <v/>
      </c>
      <c r="C9" s="27">
        <f>ROUND(AVERAGE('Daily_Cash_Waterfall'!$D$2:D9)*30*Assumptions!$C$22, 2)</f>
        <v/>
      </c>
      <c r="D9" s="30">
        <f>IF(C9&gt;0, B9/C9, 999.0)</f>
        <v/>
      </c>
      <c r="E9" s="19">
        <f>IF(D9&gt;=Assumptions!$C$23, "COMPLIANT", IF(D9&gt;=Assumptions!$C$24, "WARNING", "BREACH"))</f>
        <v/>
      </c>
      <c r="F9" s="27">
        <f>Data_Feed_Daily!B9</f>
        <v/>
      </c>
      <c r="G9" s="27">
        <f>ROUND(F9*Assumptions!$C$20*Assumptions!$C$21, 2)</f>
        <v/>
      </c>
      <c r="H9" s="27">
        <f>SUM($G$2:G9)</f>
        <v/>
      </c>
    </row>
    <row r="10">
      <c r="A10" s="17">
        <f>'Daily_Cash_Waterfall'!A10</f>
        <v/>
      </c>
      <c r="B10" s="25">
        <f>'Daily_Cash_Waterfall'!O10</f>
        <v/>
      </c>
      <c r="C10" s="25">
        <f>ROUND(AVERAGE('Daily_Cash_Waterfall'!$D$2:D10)*30*Assumptions!$C$22, 2)</f>
        <v/>
      </c>
      <c r="D10" s="12">
        <f>IF(C10&gt;0, B10/C10, 999.0)</f>
        <v/>
      </c>
      <c r="E10" s="17">
        <f>IF(D10&gt;=Assumptions!$C$23, "COMPLIANT", IF(D10&gt;=Assumptions!$C$24, "WARNING", "BREACH"))</f>
        <v/>
      </c>
      <c r="F10" s="25">
        <f>Data_Feed_Daily!B10</f>
        <v/>
      </c>
      <c r="G10" s="25">
        <f>ROUND(F10*Assumptions!$C$20*Assumptions!$C$21, 2)</f>
        <v/>
      </c>
      <c r="H10" s="25">
        <f>SUM($G$2:G10)</f>
        <v/>
      </c>
    </row>
    <row r="11">
      <c r="A11" s="19">
        <f>'Daily_Cash_Waterfall'!A11</f>
        <v/>
      </c>
      <c r="B11" s="27">
        <f>'Daily_Cash_Waterfall'!O11</f>
        <v/>
      </c>
      <c r="C11" s="27">
        <f>ROUND(AVERAGE('Daily_Cash_Waterfall'!$D$2:D11)*30*Assumptions!$C$22, 2)</f>
        <v/>
      </c>
      <c r="D11" s="30">
        <f>IF(C11&gt;0, B11/C11, 999.0)</f>
        <v/>
      </c>
      <c r="E11" s="19">
        <f>IF(D11&gt;=Assumptions!$C$23, "COMPLIANT", IF(D11&gt;=Assumptions!$C$24, "WARNING", "BREACH"))</f>
        <v/>
      </c>
      <c r="F11" s="27">
        <f>Data_Feed_Daily!B11</f>
        <v/>
      </c>
      <c r="G11" s="27">
        <f>ROUND(F11*Assumptions!$C$20*Assumptions!$C$21, 2)</f>
        <v/>
      </c>
      <c r="H11" s="27">
        <f>SUM($G$2:G11)</f>
        <v/>
      </c>
    </row>
    <row r="12">
      <c r="A12" s="17">
        <f>'Daily_Cash_Waterfall'!A12</f>
        <v/>
      </c>
      <c r="B12" s="25">
        <f>'Daily_Cash_Waterfall'!O12</f>
        <v/>
      </c>
      <c r="C12" s="25">
        <f>ROUND(AVERAGE('Daily_Cash_Waterfall'!$D$2:D12)*30*Assumptions!$C$22, 2)</f>
        <v/>
      </c>
      <c r="D12" s="12">
        <f>IF(C12&gt;0, B12/C12, 999.0)</f>
        <v/>
      </c>
      <c r="E12" s="17">
        <f>IF(D12&gt;=Assumptions!$C$23, "COMPLIANT", IF(D12&gt;=Assumptions!$C$24, "WARNING", "BREACH"))</f>
        <v/>
      </c>
      <c r="F12" s="25">
        <f>Data_Feed_Daily!B12</f>
        <v/>
      </c>
      <c r="G12" s="25">
        <f>ROUND(F12*Assumptions!$C$20*Assumptions!$C$21, 2)</f>
        <v/>
      </c>
      <c r="H12" s="25">
        <f>SUM($G$2:G12)</f>
        <v/>
      </c>
    </row>
    <row r="13">
      <c r="A13" s="19">
        <f>'Daily_Cash_Waterfall'!A13</f>
        <v/>
      </c>
      <c r="B13" s="27">
        <f>'Daily_Cash_Waterfall'!O13</f>
        <v/>
      </c>
      <c r="C13" s="27">
        <f>ROUND(AVERAGE('Daily_Cash_Waterfall'!$D$2:D13)*30*Assumptions!$C$22, 2)</f>
        <v/>
      </c>
      <c r="D13" s="30">
        <f>IF(C13&gt;0, B13/C13, 999.0)</f>
        <v/>
      </c>
      <c r="E13" s="19">
        <f>IF(D13&gt;=Assumptions!$C$23, "COMPLIANT", IF(D13&gt;=Assumptions!$C$24, "WARNING", "BREACH"))</f>
        <v/>
      </c>
      <c r="F13" s="27">
        <f>Data_Feed_Daily!B13</f>
        <v/>
      </c>
      <c r="G13" s="27">
        <f>ROUND(F13*Assumptions!$C$20*Assumptions!$C$21, 2)</f>
        <v/>
      </c>
      <c r="H13" s="27">
        <f>SUM($G$2:G13)</f>
        <v/>
      </c>
    </row>
    <row r="14">
      <c r="A14" s="17">
        <f>'Daily_Cash_Waterfall'!A14</f>
        <v/>
      </c>
      <c r="B14" s="25">
        <f>'Daily_Cash_Waterfall'!O14</f>
        <v/>
      </c>
      <c r="C14" s="25">
        <f>ROUND(AVERAGE('Daily_Cash_Waterfall'!$D$2:D14)*30*Assumptions!$C$22, 2)</f>
        <v/>
      </c>
      <c r="D14" s="12">
        <f>IF(C14&gt;0, B14/C14, 999.0)</f>
        <v/>
      </c>
      <c r="E14" s="17">
        <f>IF(D14&gt;=Assumptions!$C$23, "COMPLIANT", IF(D14&gt;=Assumptions!$C$24, "WARNING", "BREACH"))</f>
        <v/>
      </c>
      <c r="F14" s="25">
        <f>Data_Feed_Daily!B14</f>
        <v/>
      </c>
      <c r="G14" s="25">
        <f>ROUND(F14*Assumptions!$C$20*Assumptions!$C$21, 2)</f>
        <v/>
      </c>
      <c r="H14" s="25">
        <f>SUM($G$2:G14)</f>
        <v/>
      </c>
    </row>
    <row r="15">
      <c r="A15" s="19">
        <f>'Daily_Cash_Waterfall'!A15</f>
        <v/>
      </c>
      <c r="B15" s="27">
        <f>'Daily_Cash_Waterfall'!O15</f>
        <v/>
      </c>
      <c r="C15" s="27">
        <f>ROUND(AVERAGE('Daily_Cash_Waterfall'!$D$2:D15)*30*Assumptions!$C$22, 2)</f>
        <v/>
      </c>
      <c r="D15" s="30">
        <f>IF(C15&gt;0, B15/C15, 999.0)</f>
        <v/>
      </c>
      <c r="E15" s="19">
        <f>IF(D15&gt;=Assumptions!$C$23, "COMPLIANT", IF(D15&gt;=Assumptions!$C$24, "WARNING", "BREACH"))</f>
        <v/>
      </c>
      <c r="F15" s="27">
        <f>Data_Feed_Daily!B15</f>
        <v/>
      </c>
      <c r="G15" s="27">
        <f>ROUND(F15*Assumptions!$C$20*Assumptions!$C$21, 2)</f>
        <v/>
      </c>
      <c r="H15" s="27">
        <f>SUM($G$2:G15)</f>
        <v/>
      </c>
    </row>
    <row r="16">
      <c r="A16" s="17">
        <f>'Daily_Cash_Waterfall'!A16</f>
        <v/>
      </c>
      <c r="B16" s="25">
        <f>'Daily_Cash_Waterfall'!O16</f>
        <v/>
      </c>
      <c r="C16" s="25">
        <f>ROUND(AVERAGE('Daily_Cash_Waterfall'!$D$2:D16)*30*Assumptions!$C$22, 2)</f>
        <v/>
      </c>
      <c r="D16" s="12">
        <f>IF(C16&gt;0, B16/C16, 999.0)</f>
        <v/>
      </c>
      <c r="E16" s="17">
        <f>IF(D16&gt;=Assumptions!$C$23, "COMPLIANT", IF(D16&gt;=Assumptions!$C$24, "WARNING", "BREACH"))</f>
        <v/>
      </c>
      <c r="F16" s="25">
        <f>Data_Feed_Daily!B16</f>
        <v/>
      </c>
      <c r="G16" s="25">
        <f>ROUND(F16*Assumptions!$C$20*Assumptions!$C$21, 2)</f>
        <v/>
      </c>
      <c r="H16" s="25">
        <f>SUM($G$2:G16)</f>
        <v/>
      </c>
    </row>
    <row r="17">
      <c r="A17" s="19">
        <f>'Daily_Cash_Waterfall'!A17</f>
        <v/>
      </c>
      <c r="B17" s="27">
        <f>'Daily_Cash_Waterfall'!O17</f>
        <v/>
      </c>
      <c r="C17" s="27">
        <f>ROUND(AVERAGE('Daily_Cash_Waterfall'!$D$2:D17)*30*Assumptions!$C$22, 2)</f>
        <v/>
      </c>
      <c r="D17" s="30">
        <f>IF(C17&gt;0, B17/C17, 999.0)</f>
        <v/>
      </c>
      <c r="E17" s="19">
        <f>IF(D17&gt;=Assumptions!$C$23, "COMPLIANT", IF(D17&gt;=Assumptions!$C$24, "WARNING", "BREACH"))</f>
        <v/>
      </c>
      <c r="F17" s="27">
        <f>Data_Feed_Daily!B17</f>
        <v/>
      </c>
      <c r="G17" s="27">
        <f>ROUND(F17*Assumptions!$C$20*Assumptions!$C$21, 2)</f>
        <v/>
      </c>
      <c r="H17" s="27">
        <f>SUM($G$2:G17)</f>
        <v/>
      </c>
    </row>
    <row r="18">
      <c r="A18" s="17">
        <f>'Daily_Cash_Waterfall'!A18</f>
        <v/>
      </c>
      <c r="B18" s="25">
        <f>'Daily_Cash_Waterfall'!O18</f>
        <v/>
      </c>
      <c r="C18" s="25">
        <f>ROUND(AVERAGE('Daily_Cash_Waterfall'!$D$2:D18)*30*Assumptions!$C$22, 2)</f>
        <v/>
      </c>
      <c r="D18" s="12">
        <f>IF(C18&gt;0, B18/C18, 999.0)</f>
        <v/>
      </c>
      <c r="E18" s="17">
        <f>IF(D18&gt;=Assumptions!$C$23, "COMPLIANT", IF(D18&gt;=Assumptions!$C$24, "WARNING", "BREACH"))</f>
        <v/>
      </c>
      <c r="F18" s="25">
        <f>Data_Feed_Daily!B18</f>
        <v/>
      </c>
      <c r="G18" s="25">
        <f>ROUND(F18*Assumptions!$C$20*Assumptions!$C$21, 2)</f>
        <v/>
      </c>
      <c r="H18" s="25">
        <f>SUM($G$2:G18)</f>
        <v/>
      </c>
    </row>
    <row r="19">
      <c r="A19" s="19">
        <f>'Daily_Cash_Waterfall'!A19</f>
        <v/>
      </c>
      <c r="B19" s="27">
        <f>'Daily_Cash_Waterfall'!O19</f>
        <v/>
      </c>
      <c r="C19" s="27">
        <f>ROUND(AVERAGE('Daily_Cash_Waterfall'!$D$2:D19)*30*Assumptions!$C$22, 2)</f>
        <v/>
      </c>
      <c r="D19" s="30">
        <f>IF(C19&gt;0, B19/C19, 999.0)</f>
        <v/>
      </c>
      <c r="E19" s="19">
        <f>IF(D19&gt;=Assumptions!$C$23, "COMPLIANT", IF(D19&gt;=Assumptions!$C$24, "WARNING", "BREACH"))</f>
        <v/>
      </c>
      <c r="F19" s="27">
        <f>Data_Feed_Daily!B19</f>
        <v/>
      </c>
      <c r="G19" s="27">
        <f>ROUND(F19*Assumptions!$C$20*Assumptions!$C$21, 2)</f>
        <v/>
      </c>
      <c r="H19" s="27">
        <f>SUM($G$2:G19)</f>
        <v/>
      </c>
    </row>
    <row r="20">
      <c r="A20" s="17">
        <f>'Daily_Cash_Waterfall'!A20</f>
        <v/>
      </c>
      <c r="B20" s="25">
        <f>'Daily_Cash_Waterfall'!O20</f>
        <v/>
      </c>
      <c r="C20" s="25">
        <f>ROUND(AVERAGE('Daily_Cash_Waterfall'!$D$2:D20)*30*Assumptions!$C$22, 2)</f>
        <v/>
      </c>
      <c r="D20" s="12">
        <f>IF(C20&gt;0, B20/C20, 999.0)</f>
        <v/>
      </c>
      <c r="E20" s="17">
        <f>IF(D20&gt;=Assumptions!$C$23, "COMPLIANT", IF(D20&gt;=Assumptions!$C$24, "WARNING", "BREACH"))</f>
        <v/>
      </c>
      <c r="F20" s="25">
        <f>Data_Feed_Daily!B20</f>
        <v/>
      </c>
      <c r="G20" s="25">
        <f>ROUND(F20*Assumptions!$C$20*Assumptions!$C$21, 2)</f>
        <v/>
      </c>
      <c r="H20" s="25">
        <f>SUM($G$2:G20)</f>
        <v/>
      </c>
    </row>
    <row r="21">
      <c r="A21" s="19">
        <f>'Daily_Cash_Waterfall'!A21</f>
        <v/>
      </c>
      <c r="B21" s="27">
        <f>'Daily_Cash_Waterfall'!O21</f>
        <v/>
      </c>
      <c r="C21" s="27">
        <f>ROUND(AVERAGE('Daily_Cash_Waterfall'!$D$2:D21)*30*Assumptions!$C$22, 2)</f>
        <v/>
      </c>
      <c r="D21" s="30">
        <f>IF(C21&gt;0, B21/C21, 999.0)</f>
        <v/>
      </c>
      <c r="E21" s="19">
        <f>IF(D21&gt;=Assumptions!$C$23, "COMPLIANT", IF(D21&gt;=Assumptions!$C$24, "WARNING", "BREACH"))</f>
        <v/>
      </c>
      <c r="F21" s="27">
        <f>Data_Feed_Daily!B21</f>
        <v/>
      </c>
      <c r="G21" s="27">
        <f>ROUND(F21*Assumptions!$C$20*Assumptions!$C$21, 2)</f>
        <v/>
      </c>
      <c r="H21" s="27">
        <f>SUM($G$2:G21)</f>
        <v/>
      </c>
    </row>
    <row r="22">
      <c r="A22" s="17">
        <f>'Daily_Cash_Waterfall'!A22</f>
        <v/>
      </c>
      <c r="B22" s="25">
        <f>'Daily_Cash_Waterfall'!O22</f>
        <v/>
      </c>
      <c r="C22" s="25">
        <f>ROUND(AVERAGE('Daily_Cash_Waterfall'!$D$2:D22)*30*Assumptions!$C$22, 2)</f>
        <v/>
      </c>
      <c r="D22" s="12">
        <f>IF(C22&gt;0, B22/C22, 999.0)</f>
        <v/>
      </c>
      <c r="E22" s="17">
        <f>IF(D22&gt;=Assumptions!$C$23, "COMPLIANT", IF(D22&gt;=Assumptions!$C$24, "WARNING", "BREACH"))</f>
        <v/>
      </c>
      <c r="F22" s="25">
        <f>Data_Feed_Daily!B22</f>
        <v/>
      </c>
      <c r="G22" s="25">
        <f>ROUND(F22*Assumptions!$C$20*Assumptions!$C$21, 2)</f>
        <v/>
      </c>
      <c r="H22" s="25">
        <f>SUM($G$2:G22)</f>
        <v/>
      </c>
    </row>
    <row r="23">
      <c r="A23" s="19">
        <f>'Daily_Cash_Waterfall'!A23</f>
        <v/>
      </c>
      <c r="B23" s="27">
        <f>'Daily_Cash_Waterfall'!O23</f>
        <v/>
      </c>
      <c r="C23" s="27">
        <f>ROUND(AVERAGE('Daily_Cash_Waterfall'!$D$2:D23)*30*Assumptions!$C$22, 2)</f>
        <v/>
      </c>
      <c r="D23" s="30">
        <f>IF(C23&gt;0, B23/C23, 999.0)</f>
        <v/>
      </c>
      <c r="E23" s="19">
        <f>IF(D23&gt;=Assumptions!$C$23, "COMPLIANT", IF(D23&gt;=Assumptions!$C$24, "WARNING", "BREACH"))</f>
        <v/>
      </c>
      <c r="F23" s="27">
        <f>Data_Feed_Daily!B23</f>
        <v/>
      </c>
      <c r="G23" s="27">
        <f>ROUND(F23*Assumptions!$C$20*Assumptions!$C$21, 2)</f>
        <v/>
      </c>
      <c r="H23" s="27">
        <f>SUM($G$2:G23)</f>
        <v/>
      </c>
    </row>
    <row r="24">
      <c r="A24" s="17">
        <f>'Daily_Cash_Waterfall'!A24</f>
        <v/>
      </c>
      <c r="B24" s="25">
        <f>'Daily_Cash_Waterfall'!O24</f>
        <v/>
      </c>
      <c r="C24" s="25">
        <f>ROUND(AVERAGE('Daily_Cash_Waterfall'!$D$2:D24)*30*Assumptions!$C$22, 2)</f>
        <v/>
      </c>
      <c r="D24" s="12">
        <f>IF(C24&gt;0, B24/C24, 999.0)</f>
        <v/>
      </c>
      <c r="E24" s="17">
        <f>IF(D24&gt;=Assumptions!$C$23, "COMPLIANT", IF(D24&gt;=Assumptions!$C$24, "WARNING", "BREACH"))</f>
        <v/>
      </c>
      <c r="F24" s="25">
        <f>Data_Feed_Daily!B24</f>
        <v/>
      </c>
      <c r="G24" s="25">
        <f>ROUND(F24*Assumptions!$C$20*Assumptions!$C$21, 2)</f>
        <v/>
      </c>
      <c r="H24" s="25">
        <f>SUM($G$2:G24)</f>
        <v/>
      </c>
    </row>
    <row r="25">
      <c r="A25" s="19">
        <f>'Daily_Cash_Waterfall'!A25</f>
        <v/>
      </c>
      <c r="B25" s="27">
        <f>'Daily_Cash_Waterfall'!O25</f>
        <v/>
      </c>
      <c r="C25" s="27">
        <f>ROUND(AVERAGE('Daily_Cash_Waterfall'!$D$2:D25)*30*Assumptions!$C$22, 2)</f>
        <v/>
      </c>
      <c r="D25" s="30">
        <f>IF(C25&gt;0, B25/C25, 999.0)</f>
        <v/>
      </c>
      <c r="E25" s="19">
        <f>IF(D25&gt;=Assumptions!$C$23, "COMPLIANT", IF(D25&gt;=Assumptions!$C$24, "WARNING", "BREACH"))</f>
        <v/>
      </c>
      <c r="F25" s="27">
        <f>Data_Feed_Daily!B25</f>
        <v/>
      </c>
      <c r="G25" s="27">
        <f>ROUND(F25*Assumptions!$C$20*Assumptions!$C$21, 2)</f>
        <v/>
      </c>
      <c r="H25" s="27">
        <f>SUM($G$2:G25)</f>
        <v/>
      </c>
    </row>
    <row r="26">
      <c r="A26" s="17">
        <f>'Daily_Cash_Waterfall'!A26</f>
        <v/>
      </c>
      <c r="B26" s="25">
        <f>'Daily_Cash_Waterfall'!O26</f>
        <v/>
      </c>
      <c r="C26" s="25">
        <f>ROUND(AVERAGE('Daily_Cash_Waterfall'!$D$2:D26)*30*Assumptions!$C$22, 2)</f>
        <v/>
      </c>
      <c r="D26" s="12">
        <f>IF(C26&gt;0, B26/C26, 999.0)</f>
        <v/>
      </c>
      <c r="E26" s="17">
        <f>IF(D26&gt;=Assumptions!$C$23, "COMPLIANT", IF(D26&gt;=Assumptions!$C$24, "WARNING", "BREACH"))</f>
        <v/>
      </c>
      <c r="F26" s="25">
        <f>Data_Feed_Daily!B26</f>
        <v/>
      </c>
      <c r="G26" s="25">
        <f>ROUND(F26*Assumptions!$C$20*Assumptions!$C$21, 2)</f>
        <v/>
      </c>
      <c r="H26" s="25">
        <f>SUM($G$2:G26)</f>
        <v/>
      </c>
    </row>
    <row r="27">
      <c r="A27" s="19">
        <f>'Daily_Cash_Waterfall'!A27</f>
        <v/>
      </c>
      <c r="B27" s="27">
        <f>'Daily_Cash_Waterfall'!O27</f>
        <v/>
      </c>
      <c r="C27" s="27">
        <f>ROUND(AVERAGE('Daily_Cash_Waterfall'!$D$2:D27)*30*Assumptions!$C$22, 2)</f>
        <v/>
      </c>
      <c r="D27" s="30">
        <f>IF(C27&gt;0, B27/C27, 999.0)</f>
        <v/>
      </c>
      <c r="E27" s="19">
        <f>IF(D27&gt;=Assumptions!$C$23, "COMPLIANT", IF(D27&gt;=Assumptions!$C$24, "WARNING", "BREACH"))</f>
        <v/>
      </c>
      <c r="F27" s="27">
        <f>Data_Feed_Daily!B27</f>
        <v/>
      </c>
      <c r="G27" s="27">
        <f>ROUND(F27*Assumptions!$C$20*Assumptions!$C$21, 2)</f>
        <v/>
      </c>
      <c r="H27" s="27">
        <f>SUM($G$2:G27)</f>
        <v/>
      </c>
    </row>
    <row r="28">
      <c r="A28" s="17">
        <f>'Daily_Cash_Waterfall'!A28</f>
        <v/>
      </c>
      <c r="B28" s="25">
        <f>'Daily_Cash_Waterfall'!O28</f>
        <v/>
      </c>
      <c r="C28" s="25">
        <f>ROUND(AVERAGE('Daily_Cash_Waterfall'!$D$2:D28)*30*Assumptions!$C$22, 2)</f>
        <v/>
      </c>
      <c r="D28" s="12">
        <f>IF(C28&gt;0, B28/C28, 999.0)</f>
        <v/>
      </c>
      <c r="E28" s="17">
        <f>IF(D28&gt;=Assumptions!$C$23, "COMPLIANT", IF(D28&gt;=Assumptions!$C$24, "WARNING", "BREACH"))</f>
        <v/>
      </c>
      <c r="F28" s="25">
        <f>Data_Feed_Daily!B28</f>
        <v/>
      </c>
      <c r="G28" s="25">
        <f>ROUND(F28*Assumptions!$C$20*Assumptions!$C$21, 2)</f>
        <v/>
      </c>
      <c r="H28" s="25">
        <f>SUM($G$2:G28)</f>
        <v/>
      </c>
    </row>
    <row r="29">
      <c r="A29" s="19">
        <f>'Daily_Cash_Waterfall'!A29</f>
        <v/>
      </c>
      <c r="B29" s="27">
        <f>'Daily_Cash_Waterfall'!O29</f>
        <v/>
      </c>
      <c r="C29" s="27">
        <f>ROUND(AVERAGE('Daily_Cash_Waterfall'!$D$2:D29)*30*Assumptions!$C$22, 2)</f>
        <v/>
      </c>
      <c r="D29" s="30">
        <f>IF(C29&gt;0, B29/C29, 999.0)</f>
        <v/>
      </c>
      <c r="E29" s="19">
        <f>IF(D29&gt;=Assumptions!$C$23, "COMPLIANT", IF(D29&gt;=Assumptions!$C$24, "WARNING", "BREACH"))</f>
        <v/>
      </c>
      <c r="F29" s="27">
        <f>Data_Feed_Daily!B29</f>
        <v/>
      </c>
      <c r="G29" s="27">
        <f>ROUND(F29*Assumptions!$C$20*Assumptions!$C$21, 2)</f>
        <v/>
      </c>
      <c r="H29" s="27">
        <f>SUM($G$2:G29)</f>
        <v/>
      </c>
    </row>
    <row r="30">
      <c r="A30" s="17">
        <f>'Daily_Cash_Waterfall'!A30</f>
        <v/>
      </c>
      <c r="B30" s="25">
        <f>'Daily_Cash_Waterfall'!O30</f>
        <v/>
      </c>
      <c r="C30" s="25">
        <f>ROUND(AVERAGE('Daily_Cash_Waterfall'!$D$2:D30)*30*Assumptions!$C$22, 2)</f>
        <v/>
      </c>
      <c r="D30" s="12">
        <f>IF(C30&gt;0, B30/C30, 999.0)</f>
        <v/>
      </c>
      <c r="E30" s="17">
        <f>IF(D30&gt;=Assumptions!$C$23, "COMPLIANT", IF(D30&gt;=Assumptions!$C$24, "WARNING", "BREACH"))</f>
        <v/>
      </c>
      <c r="F30" s="25">
        <f>Data_Feed_Daily!B30</f>
        <v/>
      </c>
      <c r="G30" s="25">
        <f>ROUND(F30*Assumptions!$C$20*Assumptions!$C$21, 2)</f>
        <v/>
      </c>
      <c r="H30" s="25">
        <f>SUM($G$2:G30)</f>
        <v/>
      </c>
    </row>
    <row r="31">
      <c r="A31" s="19">
        <f>'Daily_Cash_Waterfall'!A31</f>
        <v/>
      </c>
      <c r="B31" s="27">
        <f>'Daily_Cash_Waterfall'!O31</f>
        <v/>
      </c>
      <c r="C31" s="27">
        <f>ROUND(AVERAGE('Daily_Cash_Waterfall'!$D$2:D31)*30*Assumptions!$C$22, 2)</f>
        <v/>
      </c>
      <c r="D31" s="30">
        <f>IF(C31&gt;0, B31/C31, 999.0)</f>
        <v/>
      </c>
      <c r="E31" s="19">
        <f>IF(D31&gt;=Assumptions!$C$23, "COMPLIANT", IF(D31&gt;=Assumptions!$C$24, "WARNING", "BREACH"))</f>
        <v/>
      </c>
      <c r="F31" s="27">
        <f>Data_Feed_Daily!B31</f>
        <v/>
      </c>
      <c r="G31" s="27">
        <f>ROUND(F31*Assumptions!$C$20*Assumptions!$C$21, 2)</f>
        <v/>
      </c>
      <c r="H31" s="27">
        <f>SUM($G$2:G31)</f>
        <v/>
      </c>
    </row>
    <row r="32">
      <c r="A32" s="17">
        <f>'Daily_Cash_Waterfall'!A32</f>
        <v/>
      </c>
      <c r="B32" s="25">
        <f>'Daily_Cash_Waterfall'!O32</f>
        <v/>
      </c>
      <c r="C32" s="25">
        <f>ROUND(AVERAGE('Daily_Cash_Waterfall'!$D$2:D32)*30*Assumptions!$C$22, 2)</f>
        <v/>
      </c>
      <c r="D32" s="12">
        <f>IF(C32&gt;0, B32/C32, 999.0)</f>
        <v/>
      </c>
      <c r="E32" s="17">
        <f>IF(D32&gt;=Assumptions!$C$23, "COMPLIANT", IF(D32&gt;=Assumptions!$C$24, "WARNING", "BREACH"))</f>
        <v/>
      </c>
      <c r="F32" s="25">
        <f>Data_Feed_Daily!B32</f>
        <v/>
      </c>
      <c r="G32" s="25">
        <f>ROUND(F32*Assumptions!$C$20*Assumptions!$C$21, 2)</f>
        <v/>
      </c>
      <c r="H32" s="25">
        <f>SUM($G$2:G32)</f>
        <v/>
      </c>
    </row>
    <row r="33">
      <c r="A33" s="19">
        <f>'Daily_Cash_Waterfall'!A33</f>
        <v/>
      </c>
      <c r="B33" s="27">
        <f>'Daily_Cash_Waterfall'!O33</f>
        <v/>
      </c>
      <c r="C33" s="27">
        <f>ROUND(AVERAGE('Daily_Cash_Waterfall'!$D$2:D33)*30*Assumptions!$C$22, 2)</f>
        <v/>
      </c>
      <c r="D33" s="30">
        <f>IF(C33&gt;0, B33/C33, 999.0)</f>
        <v/>
      </c>
      <c r="E33" s="19">
        <f>IF(D33&gt;=Assumptions!$C$23, "COMPLIANT", IF(D33&gt;=Assumptions!$C$24, "WARNING", "BREACH"))</f>
        <v/>
      </c>
      <c r="F33" s="27">
        <f>Data_Feed_Daily!B33</f>
        <v/>
      </c>
      <c r="G33" s="27">
        <f>ROUND(F33*Assumptions!$C$20*Assumptions!$C$21, 2)</f>
        <v/>
      </c>
      <c r="H33" s="27">
        <f>SUM($G$2:G33)</f>
        <v/>
      </c>
    </row>
    <row r="34">
      <c r="A34" s="17">
        <f>'Daily_Cash_Waterfall'!A34</f>
        <v/>
      </c>
      <c r="B34" s="25">
        <f>'Daily_Cash_Waterfall'!O34</f>
        <v/>
      </c>
      <c r="C34" s="25">
        <f>ROUND(AVERAGE('Daily_Cash_Waterfall'!$D$2:D34)*30*Assumptions!$C$22, 2)</f>
        <v/>
      </c>
      <c r="D34" s="12">
        <f>IF(C34&gt;0, B34/C34, 999.0)</f>
        <v/>
      </c>
      <c r="E34" s="17">
        <f>IF(D34&gt;=Assumptions!$C$23, "COMPLIANT", IF(D34&gt;=Assumptions!$C$24, "WARNING", "BREACH"))</f>
        <v/>
      </c>
      <c r="F34" s="25">
        <f>Data_Feed_Daily!B34</f>
        <v/>
      </c>
      <c r="G34" s="25">
        <f>ROUND(F34*Assumptions!$C$20*Assumptions!$C$21, 2)</f>
        <v/>
      </c>
      <c r="H34" s="25">
        <f>SUM($G$2:G34)</f>
        <v/>
      </c>
    </row>
    <row r="35">
      <c r="A35" s="19">
        <f>'Daily_Cash_Waterfall'!A35</f>
        <v/>
      </c>
      <c r="B35" s="27">
        <f>'Daily_Cash_Waterfall'!O35</f>
        <v/>
      </c>
      <c r="C35" s="27">
        <f>ROUND(AVERAGE('Daily_Cash_Waterfall'!$D$2:D35)*30*Assumptions!$C$22, 2)</f>
        <v/>
      </c>
      <c r="D35" s="30">
        <f>IF(C35&gt;0, B35/C35, 999.0)</f>
        <v/>
      </c>
      <c r="E35" s="19">
        <f>IF(D35&gt;=Assumptions!$C$23, "COMPLIANT", IF(D35&gt;=Assumptions!$C$24, "WARNING", "BREACH"))</f>
        <v/>
      </c>
      <c r="F35" s="27">
        <f>Data_Feed_Daily!B35</f>
        <v/>
      </c>
      <c r="G35" s="27">
        <f>ROUND(F35*Assumptions!$C$20*Assumptions!$C$21, 2)</f>
        <v/>
      </c>
      <c r="H35" s="27">
        <f>SUM($G$2:G35)</f>
        <v/>
      </c>
    </row>
    <row r="36">
      <c r="A36" s="17">
        <f>'Daily_Cash_Waterfall'!A36</f>
        <v/>
      </c>
      <c r="B36" s="25">
        <f>'Daily_Cash_Waterfall'!O36</f>
        <v/>
      </c>
      <c r="C36" s="25">
        <f>ROUND(AVERAGE('Daily_Cash_Waterfall'!$D$2:D36)*30*Assumptions!$C$22, 2)</f>
        <v/>
      </c>
      <c r="D36" s="12">
        <f>IF(C36&gt;0, B36/C36, 999.0)</f>
        <v/>
      </c>
      <c r="E36" s="17">
        <f>IF(D36&gt;=Assumptions!$C$23, "COMPLIANT", IF(D36&gt;=Assumptions!$C$24, "WARNING", "BREACH"))</f>
        <v/>
      </c>
      <c r="F36" s="25">
        <f>Data_Feed_Daily!B36</f>
        <v/>
      </c>
      <c r="G36" s="25">
        <f>ROUND(F36*Assumptions!$C$20*Assumptions!$C$21, 2)</f>
        <v/>
      </c>
      <c r="H36" s="25">
        <f>SUM($G$2:G36)</f>
        <v/>
      </c>
    </row>
    <row r="37">
      <c r="A37" s="19">
        <f>'Daily_Cash_Waterfall'!A37</f>
        <v/>
      </c>
      <c r="B37" s="27">
        <f>'Daily_Cash_Waterfall'!O37</f>
        <v/>
      </c>
      <c r="C37" s="27">
        <f>ROUND(AVERAGE('Daily_Cash_Waterfall'!$D$2:D37)*30*Assumptions!$C$22, 2)</f>
        <v/>
      </c>
      <c r="D37" s="30">
        <f>IF(C37&gt;0, B37/C37, 999.0)</f>
        <v/>
      </c>
      <c r="E37" s="19">
        <f>IF(D37&gt;=Assumptions!$C$23, "COMPLIANT", IF(D37&gt;=Assumptions!$C$24, "WARNING", "BREACH"))</f>
        <v/>
      </c>
      <c r="F37" s="27">
        <f>Data_Feed_Daily!B37</f>
        <v/>
      </c>
      <c r="G37" s="27">
        <f>ROUND(F37*Assumptions!$C$20*Assumptions!$C$21, 2)</f>
        <v/>
      </c>
      <c r="H37" s="27">
        <f>SUM($G$2:G37)</f>
        <v/>
      </c>
    </row>
    <row r="38">
      <c r="A38" s="17">
        <f>'Daily_Cash_Waterfall'!A38</f>
        <v/>
      </c>
      <c r="B38" s="25">
        <f>'Daily_Cash_Waterfall'!O38</f>
        <v/>
      </c>
      <c r="C38" s="25">
        <f>ROUND(AVERAGE('Daily_Cash_Waterfall'!$D$2:D38)*30*Assumptions!$C$22, 2)</f>
        <v/>
      </c>
      <c r="D38" s="12">
        <f>IF(C38&gt;0, B38/C38, 999.0)</f>
        <v/>
      </c>
      <c r="E38" s="17">
        <f>IF(D38&gt;=Assumptions!$C$23, "COMPLIANT", IF(D38&gt;=Assumptions!$C$24, "WARNING", "BREACH"))</f>
        <v/>
      </c>
      <c r="F38" s="25">
        <f>Data_Feed_Daily!B38</f>
        <v/>
      </c>
      <c r="G38" s="25">
        <f>ROUND(F38*Assumptions!$C$20*Assumptions!$C$21, 2)</f>
        <v/>
      </c>
      <c r="H38" s="25">
        <f>SUM($G$2:G38)</f>
        <v/>
      </c>
    </row>
    <row r="39">
      <c r="A39" s="19">
        <f>'Daily_Cash_Waterfall'!A39</f>
        <v/>
      </c>
      <c r="B39" s="27">
        <f>'Daily_Cash_Waterfall'!O39</f>
        <v/>
      </c>
      <c r="C39" s="27">
        <f>ROUND(AVERAGE('Daily_Cash_Waterfall'!$D$2:D39)*30*Assumptions!$C$22, 2)</f>
        <v/>
      </c>
      <c r="D39" s="30">
        <f>IF(C39&gt;0, B39/C39, 999.0)</f>
        <v/>
      </c>
      <c r="E39" s="19">
        <f>IF(D39&gt;=Assumptions!$C$23, "COMPLIANT", IF(D39&gt;=Assumptions!$C$24, "WARNING", "BREACH"))</f>
        <v/>
      </c>
      <c r="F39" s="27">
        <f>Data_Feed_Daily!B39</f>
        <v/>
      </c>
      <c r="G39" s="27">
        <f>ROUND(F39*Assumptions!$C$20*Assumptions!$C$21, 2)</f>
        <v/>
      </c>
      <c r="H39" s="27">
        <f>SUM($G$2:G39)</f>
        <v/>
      </c>
    </row>
    <row r="40">
      <c r="A40" s="17">
        <f>'Daily_Cash_Waterfall'!A40</f>
        <v/>
      </c>
      <c r="B40" s="25">
        <f>'Daily_Cash_Waterfall'!O40</f>
        <v/>
      </c>
      <c r="C40" s="25">
        <f>ROUND(AVERAGE('Daily_Cash_Waterfall'!$D$2:D40)*30*Assumptions!$C$22, 2)</f>
        <v/>
      </c>
      <c r="D40" s="12">
        <f>IF(C40&gt;0, B40/C40, 999.0)</f>
        <v/>
      </c>
      <c r="E40" s="17">
        <f>IF(D40&gt;=Assumptions!$C$23, "COMPLIANT", IF(D40&gt;=Assumptions!$C$24, "WARNING", "BREACH"))</f>
        <v/>
      </c>
      <c r="F40" s="25">
        <f>Data_Feed_Daily!B40</f>
        <v/>
      </c>
      <c r="G40" s="25">
        <f>ROUND(F40*Assumptions!$C$20*Assumptions!$C$21, 2)</f>
        <v/>
      </c>
      <c r="H40" s="25">
        <f>SUM($G$2:G40)</f>
        <v/>
      </c>
    </row>
    <row r="41">
      <c r="A41" s="19">
        <f>'Daily_Cash_Waterfall'!A41</f>
        <v/>
      </c>
      <c r="B41" s="27">
        <f>'Daily_Cash_Waterfall'!O41</f>
        <v/>
      </c>
      <c r="C41" s="27">
        <f>ROUND(AVERAGE('Daily_Cash_Waterfall'!$D$2:D41)*30*Assumptions!$C$22, 2)</f>
        <v/>
      </c>
      <c r="D41" s="30">
        <f>IF(C41&gt;0, B41/C41, 999.0)</f>
        <v/>
      </c>
      <c r="E41" s="19">
        <f>IF(D41&gt;=Assumptions!$C$23, "COMPLIANT", IF(D41&gt;=Assumptions!$C$24, "WARNING", "BREACH"))</f>
        <v/>
      </c>
      <c r="F41" s="27">
        <f>Data_Feed_Daily!B41</f>
        <v/>
      </c>
      <c r="G41" s="27">
        <f>ROUND(F41*Assumptions!$C$20*Assumptions!$C$21, 2)</f>
        <v/>
      </c>
      <c r="H41" s="27">
        <f>SUM($G$2:G41)</f>
        <v/>
      </c>
    </row>
    <row r="42">
      <c r="A42" s="17">
        <f>'Daily_Cash_Waterfall'!A42</f>
        <v/>
      </c>
      <c r="B42" s="25">
        <f>'Daily_Cash_Waterfall'!O42</f>
        <v/>
      </c>
      <c r="C42" s="25">
        <f>ROUND(AVERAGE('Daily_Cash_Waterfall'!$D$2:D42)*30*Assumptions!$C$22, 2)</f>
        <v/>
      </c>
      <c r="D42" s="12">
        <f>IF(C42&gt;0, B42/C42, 999.0)</f>
        <v/>
      </c>
      <c r="E42" s="17">
        <f>IF(D42&gt;=Assumptions!$C$23, "COMPLIANT", IF(D42&gt;=Assumptions!$C$24, "WARNING", "BREACH"))</f>
        <v/>
      </c>
      <c r="F42" s="25">
        <f>Data_Feed_Daily!B42</f>
        <v/>
      </c>
      <c r="G42" s="25">
        <f>ROUND(F42*Assumptions!$C$20*Assumptions!$C$21, 2)</f>
        <v/>
      </c>
      <c r="H42" s="25">
        <f>SUM($G$2:G42)</f>
        <v/>
      </c>
    </row>
    <row r="43">
      <c r="A43" s="19">
        <f>'Daily_Cash_Waterfall'!A43</f>
        <v/>
      </c>
      <c r="B43" s="27">
        <f>'Daily_Cash_Waterfall'!O43</f>
        <v/>
      </c>
      <c r="C43" s="27">
        <f>ROUND(AVERAGE('Daily_Cash_Waterfall'!$D$2:D43)*30*Assumptions!$C$22, 2)</f>
        <v/>
      </c>
      <c r="D43" s="30">
        <f>IF(C43&gt;0, B43/C43, 999.0)</f>
        <v/>
      </c>
      <c r="E43" s="19">
        <f>IF(D43&gt;=Assumptions!$C$23, "COMPLIANT", IF(D43&gt;=Assumptions!$C$24, "WARNING", "BREACH"))</f>
        <v/>
      </c>
      <c r="F43" s="27">
        <f>Data_Feed_Daily!B43</f>
        <v/>
      </c>
      <c r="G43" s="27">
        <f>ROUND(F43*Assumptions!$C$20*Assumptions!$C$21, 2)</f>
        <v/>
      </c>
      <c r="H43" s="27">
        <f>SUM($G$2:G43)</f>
        <v/>
      </c>
    </row>
    <row r="44">
      <c r="A44" s="17">
        <f>'Daily_Cash_Waterfall'!A44</f>
        <v/>
      </c>
      <c r="B44" s="25">
        <f>'Daily_Cash_Waterfall'!O44</f>
        <v/>
      </c>
      <c r="C44" s="25">
        <f>ROUND(AVERAGE('Daily_Cash_Waterfall'!$D$2:D44)*30*Assumptions!$C$22, 2)</f>
        <v/>
      </c>
      <c r="D44" s="12">
        <f>IF(C44&gt;0, B44/C44, 999.0)</f>
        <v/>
      </c>
      <c r="E44" s="17">
        <f>IF(D44&gt;=Assumptions!$C$23, "COMPLIANT", IF(D44&gt;=Assumptions!$C$24, "WARNING", "BREACH"))</f>
        <v/>
      </c>
      <c r="F44" s="25">
        <f>Data_Feed_Daily!B44</f>
        <v/>
      </c>
      <c r="G44" s="25">
        <f>ROUND(F44*Assumptions!$C$20*Assumptions!$C$21, 2)</f>
        <v/>
      </c>
      <c r="H44" s="25">
        <f>SUM($G$2:G44)</f>
        <v/>
      </c>
    </row>
    <row r="45">
      <c r="A45" s="19">
        <f>'Daily_Cash_Waterfall'!A45</f>
        <v/>
      </c>
      <c r="B45" s="27">
        <f>'Daily_Cash_Waterfall'!O45</f>
        <v/>
      </c>
      <c r="C45" s="27">
        <f>ROUND(AVERAGE('Daily_Cash_Waterfall'!$D$2:D45)*30*Assumptions!$C$22, 2)</f>
        <v/>
      </c>
      <c r="D45" s="30">
        <f>IF(C45&gt;0, B45/C45, 999.0)</f>
        <v/>
      </c>
      <c r="E45" s="19">
        <f>IF(D45&gt;=Assumptions!$C$23, "COMPLIANT", IF(D45&gt;=Assumptions!$C$24, "WARNING", "BREACH"))</f>
        <v/>
      </c>
      <c r="F45" s="27">
        <f>Data_Feed_Daily!B45</f>
        <v/>
      </c>
      <c r="G45" s="27">
        <f>ROUND(F45*Assumptions!$C$20*Assumptions!$C$21, 2)</f>
        <v/>
      </c>
      <c r="H45" s="27">
        <f>SUM($G$2:G45)</f>
        <v/>
      </c>
    </row>
    <row r="46">
      <c r="A46" s="17">
        <f>'Daily_Cash_Waterfall'!A46</f>
        <v/>
      </c>
      <c r="B46" s="25">
        <f>'Daily_Cash_Waterfall'!O46</f>
        <v/>
      </c>
      <c r="C46" s="25">
        <f>ROUND(AVERAGE('Daily_Cash_Waterfall'!$D$2:D46)*30*Assumptions!$C$22, 2)</f>
        <v/>
      </c>
      <c r="D46" s="12">
        <f>IF(C46&gt;0, B46/C46, 999.0)</f>
        <v/>
      </c>
      <c r="E46" s="17">
        <f>IF(D46&gt;=Assumptions!$C$23, "COMPLIANT", IF(D46&gt;=Assumptions!$C$24, "WARNING", "BREACH"))</f>
        <v/>
      </c>
      <c r="F46" s="25">
        <f>Data_Feed_Daily!B46</f>
        <v/>
      </c>
      <c r="G46" s="25">
        <f>ROUND(F46*Assumptions!$C$20*Assumptions!$C$21, 2)</f>
        <v/>
      </c>
      <c r="H46" s="25">
        <f>SUM($G$2:G46)</f>
        <v/>
      </c>
    </row>
    <row r="47">
      <c r="A47" s="19">
        <f>'Daily_Cash_Waterfall'!A47</f>
        <v/>
      </c>
      <c r="B47" s="27">
        <f>'Daily_Cash_Waterfall'!O47</f>
        <v/>
      </c>
      <c r="C47" s="27">
        <f>ROUND(AVERAGE('Daily_Cash_Waterfall'!$D$2:D47)*30*Assumptions!$C$22, 2)</f>
        <v/>
      </c>
      <c r="D47" s="30">
        <f>IF(C47&gt;0, B47/C47, 999.0)</f>
        <v/>
      </c>
      <c r="E47" s="19">
        <f>IF(D47&gt;=Assumptions!$C$23, "COMPLIANT", IF(D47&gt;=Assumptions!$C$24, "WARNING", "BREACH"))</f>
        <v/>
      </c>
      <c r="F47" s="27">
        <f>Data_Feed_Daily!B47</f>
        <v/>
      </c>
      <c r="G47" s="27">
        <f>ROUND(F47*Assumptions!$C$20*Assumptions!$C$21, 2)</f>
        <v/>
      </c>
      <c r="H47" s="27">
        <f>SUM($G$2:G47)</f>
        <v/>
      </c>
    </row>
    <row r="48">
      <c r="A48" s="17">
        <f>'Daily_Cash_Waterfall'!A48</f>
        <v/>
      </c>
      <c r="B48" s="25">
        <f>'Daily_Cash_Waterfall'!O48</f>
        <v/>
      </c>
      <c r="C48" s="25">
        <f>ROUND(AVERAGE('Daily_Cash_Waterfall'!$D$2:D48)*30*Assumptions!$C$22, 2)</f>
        <v/>
      </c>
      <c r="D48" s="12">
        <f>IF(C48&gt;0, B48/C48, 999.0)</f>
        <v/>
      </c>
      <c r="E48" s="17">
        <f>IF(D48&gt;=Assumptions!$C$23, "COMPLIANT", IF(D48&gt;=Assumptions!$C$24, "WARNING", "BREACH"))</f>
        <v/>
      </c>
      <c r="F48" s="25">
        <f>Data_Feed_Daily!B48</f>
        <v/>
      </c>
      <c r="G48" s="25">
        <f>ROUND(F48*Assumptions!$C$20*Assumptions!$C$21, 2)</f>
        <v/>
      </c>
      <c r="H48" s="25">
        <f>SUM($G$2:G48)</f>
        <v/>
      </c>
    </row>
    <row r="49">
      <c r="A49" s="19">
        <f>'Daily_Cash_Waterfall'!A49</f>
        <v/>
      </c>
      <c r="B49" s="27">
        <f>'Daily_Cash_Waterfall'!O49</f>
        <v/>
      </c>
      <c r="C49" s="27">
        <f>ROUND(AVERAGE('Daily_Cash_Waterfall'!$D$2:D49)*30*Assumptions!$C$22, 2)</f>
        <v/>
      </c>
      <c r="D49" s="30">
        <f>IF(C49&gt;0, B49/C49, 999.0)</f>
        <v/>
      </c>
      <c r="E49" s="19">
        <f>IF(D49&gt;=Assumptions!$C$23, "COMPLIANT", IF(D49&gt;=Assumptions!$C$24, "WARNING", "BREACH"))</f>
        <v/>
      </c>
      <c r="F49" s="27">
        <f>Data_Feed_Daily!B49</f>
        <v/>
      </c>
      <c r="G49" s="27">
        <f>ROUND(F49*Assumptions!$C$20*Assumptions!$C$21, 2)</f>
        <v/>
      </c>
      <c r="H49" s="27">
        <f>SUM($G$2:G49)</f>
        <v/>
      </c>
    </row>
    <row r="50">
      <c r="A50" s="17">
        <f>'Daily_Cash_Waterfall'!A50</f>
        <v/>
      </c>
      <c r="B50" s="25">
        <f>'Daily_Cash_Waterfall'!O50</f>
        <v/>
      </c>
      <c r="C50" s="25">
        <f>ROUND(AVERAGE('Daily_Cash_Waterfall'!$D$2:D50)*30*Assumptions!$C$22, 2)</f>
        <v/>
      </c>
      <c r="D50" s="12">
        <f>IF(C50&gt;0, B50/C50, 999.0)</f>
        <v/>
      </c>
      <c r="E50" s="17">
        <f>IF(D50&gt;=Assumptions!$C$23, "COMPLIANT", IF(D50&gt;=Assumptions!$C$24, "WARNING", "BREACH"))</f>
        <v/>
      </c>
      <c r="F50" s="25">
        <f>Data_Feed_Daily!B50</f>
        <v/>
      </c>
      <c r="G50" s="25">
        <f>ROUND(F50*Assumptions!$C$20*Assumptions!$C$21, 2)</f>
        <v/>
      </c>
      <c r="H50" s="25">
        <f>SUM($G$2:G50)</f>
        <v/>
      </c>
    </row>
    <row r="51">
      <c r="A51" s="19">
        <f>'Daily_Cash_Waterfall'!A51</f>
        <v/>
      </c>
      <c r="B51" s="27">
        <f>'Daily_Cash_Waterfall'!O51</f>
        <v/>
      </c>
      <c r="C51" s="27">
        <f>ROUND(AVERAGE('Daily_Cash_Waterfall'!$D$2:D51)*30*Assumptions!$C$22, 2)</f>
        <v/>
      </c>
      <c r="D51" s="30">
        <f>IF(C51&gt;0, B51/C51, 999.0)</f>
        <v/>
      </c>
      <c r="E51" s="19">
        <f>IF(D51&gt;=Assumptions!$C$23, "COMPLIANT", IF(D51&gt;=Assumptions!$C$24, "WARNING", "BREACH"))</f>
        <v/>
      </c>
      <c r="F51" s="27">
        <f>Data_Feed_Daily!B51</f>
        <v/>
      </c>
      <c r="G51" s="27">
        <f>ROUND(F51*Assumptions!$C$20*Assumptions!$C$21, 2)</f>
        <v/>
      </c>
      <c r="H51" s="27">
        <f>SUM($G$2:G51)</f>
        <v/>
      </c>
    </row>
    <row r="52">
      <c r="A52" s="17">
        <f>'Daily_Cash_Waterfall'!A52</f>
        <v/>
      </c>
      <c r="B52" s="25">
        <f>'Daily_Cash_Waterfall'!O52</f>
        <v/>
      </c>
      <c r="C52" s="25">
        <f>ROUND(AVERAGE('Daily_Cash_Waterfall'!$D$2:D52)*30*Assumptions!$C$22, 2)</f>
        <v/>
      </c>
      <c r="D52" s="12">
        <f>IF(C52&gt;0, B52/C52, 999.0)</f>
        <v/>
      </c>
      <c r="E52" s="17">
        <f>IF(D52&gt;=Assumptions!$C$23, "COMPLIANT", IF(D52&gt;=Assumptions!$C$24, "WARNING", "BREACH"))</f>
        <v/>
      </c>
      <c r="F52" s="25">
        <f>Data_Feed_Daily!B52</f>
        <v/>
      </c>
      <c r="G52" s="25">
        <f>ROUND(F52*Assumptions!$C$20*Assumptions!$C$21, 2)</f>
        <v/>
      </c>
      <c r="H52" s="25">
        <f>SUM($G$2:G52)</f>
        <v/>
      </c>
    </row>
    <row r="53">
      <c r="A53" s="19">
        <f>'Daily_Cash_Waterfall'!A53</f>
        <v/>
      </c>
      <c r="B53" s="27">
        <f>'Daily_Cash_Waterfall'!O53</f>
        <v/>
      </c>
      <c r="C53" s="27">
        <f>ROUND(AVERAGE('Daily_Cash_Waterfall'!$D$2:D53)*30*Assumptions!$C$22, 2)</f>
        <v/>
      </c>
      <c r="D53" s="30">
        <f>IF(C53&gt;0, B53/C53, 999.0)</f>
        <v/>
      </c>
      <c r="E53" s="19">
        <f>IF(D53&gt;=Assumptions!$C$23, "COMPLIANT", IF(D53&gt;=Assumptions!$C$24, "WARNING", "BREACH"))</f>
        <v/>
      </c>
      <c r="F53" s="27">
        <f>Data_Feed_Daily!B53</f>
        <v/>
      </c>
      <c r="G53" s="27">
        <f>ROUND(F53*Assumptions!$C$20*Assumptions!$C$21, 2)</f>
        <v/>
      </c>
      <c r="H53" s="27">
        <f>SUM($G$2:G53)</f>
        <v/>
      </c>
    </row>
    <row r="54">
      <c r="A54" s="17">
        <f>'Daily_Cash_Waterfall'!A54</f>
        <v/>
      </c>
      <c r="B54" s="25">
        <f>'Daily_Cash_Waterfall'!O54</f>
        <v/>
      </c>
      <c r="C54" s="25">
        <f>ROUND(AVERAGE('Daily_Cash_Waterfall'!$D$2:D54)*30*Assumptions!$C$22, 2)</f>
        <v/>
      </c>
      <c r="D54" s="12">
        <f>IF(C54&gt;0, B54/C54, 999.0)</f>
        <v/>
      </c>
      <c r="E54" s="17">
        <f>IF(D54&gt;=Assumptions!$C$23, "COMPLIANT", IF(D54&gt;=Assumptions!$C$24, "WARNING", "BREACH"))</f>
        <v/>
      </c>
      <c r="F54" s="25">
        <f>Data_Feed_Daily!B54</f>
        <v/>
      </c>
      <c r="G54" s="25">
        <f>ROUND(F54*Assumptions!$C$20*Assumptions!$C$21, 2)</f>
        <v/>
      </c>
      <c r="H54" s="25">
        <f>SUM($G$2:G54)</f>
        <v/>
      </c>
    </row>
    <row r="55">
      <c r="A55" s="19">
        <f>'Daily_Cash_Waterfall'!A55</f>
        <v/>
      </c>
      <c r="B55" s="27">
        <f>'Daily_Cash_Waterfall'!O55</f>
        <v/>
      </c>
      <c r="C55" s="27">
        <f>ROUND(AVERAGE('Daily_Cash_Waterfall'!$D$2:D55)*30*Assumptions!$C$22, 2)</f>
        <v/>
      </c>
      <c r="D55" s="30">
        <f>IF(C55&gt;0, B55/C55, 999.0)</f>
        <v/>
      </c>
      <c r="E55" s="19">
        <f>IF(D55&gt;=Assumptions!$C$23, "COMPLIANT", IF(D55&gt;=Assumptions!$C$24, "WARNING", "BREACH"))</f>
        <v/>
      </c>
      <c r="F55" s="27">
        <f>Data_Feed_Daily!B55</f>
        <v/>
      </c>
      <c r="G55" s="27">
        <f>ROUND(F55*Assumptions!$C$20*Assumptions!$C$21, 2)</f>
        <v/>
      </c>
      <c r="H55" s="27">
        <f>SUM($G$2:G55)</f>
        <v/>
      </c>
    </row>
    <row r="56">
      <c r="A56" s="17">
        <f>'Daily_Cash_Waterfall'!A56</f>
        <v/>
      </c>
      <c r="B56" s="25">
        <f>'Daily_Cash_Waterfall'!O56</f>
        <v/>
      </c>
      <c r="C56" s="25">
        <f>ROUND(AVERAGE('Daily_Cash_Waterfall'!$D$2:D56)*30*Assumptions!$C$22, 2)</f>
        <v/>
      </c>
      <c r="D56" s="12">
        <f>IF(C56&gt;0, B56/C56, 999.0)</f>
        <v/>
      </c>
      <c r="E56" s="17">
        <f>IF(D56&gt;=Assumptions!$C$23, "COMPLIANT", IF(D56&gt;=Assumptions!$C$24, "WARNING", "BREACH"))</f>
        <v/>
      </c>
      <c r="F56" s="25">
        <f>Data_Feed_Daily!B56</f>
        <v/>
      </c>
      <c r="G56" s="25">
        <f>ROUND(F56*Assumptions!$C$20*Assumptions!$C$21, 2)</f>
        <v/>
      </c>
      <c r="H56" s="25">
        <f>SUM($G$2:G56)</f>
        <v/>
      </c>
    </row>
    <row r="57">
      <c r="A57" s="19">
        <f>'Daily_Cash_Waterfall'!A57</f>
        <v/>
      </c>
      <c r="B57" s="27">
        <f>'Daily_Cash_Waterfall'!O57</f>
        <v/>
      </c>
      <c r="C57" s="27">
        <f>ROUND(AVERAGE('Daily_Cash_Waterfall'!$D$2:D57)*30*Assumptions!$C$22, 2)</f>
        <v/>
      </c>
      <c r="D57" s="30">
        <f>IF(C57&gt;0, B57/C57, 999.0)</f>
        <v/>
      </c>
      <c r="E57" s="19">
        <f>IF(D57&gt;=Assumptions!$C$23, "COMPLIANT", IF(D57&gt;=Assumptions!$C$24, "WARNING", "BREACH"))</f>
        <v/>
      </c>
      <c r="F57" s="27">
        <f>Data_Feed_Daily!B57</f>
        <v/>
      </c>
      <c r="G57" s="27">
        <f>ROUND(F57*Assumptions!$C$20*Assumptions!$C$21, 2)</f>
        <v/>
      </c>
      <c r="H57" s="27">
        <f>SUM($G$2:G57)</f>
        <v/>
      </c>
    </row>
    <row r="58">
      <c r="A58" s="17">
        <f>'Daily_Cash_Waterfall'!A58</f>
        <v/>
      </c>
      <c r="B58" s="25">
        <f>'Daily_Cash_Waterfall'!O58</f>
        <v/>
      </c>
      <c r="C58" s="25">
        <f>ROUND(AVERAGE('Daily_Cash_Waterfall'!$D$2:D58)*30*Assumptions!$C$22, 2)</f>
        <v/>
      </c>
      <c r="D58" s="12">
        <f>IF(C58&gt;0, B58/C58, 999.0)</f>
        <v/>
      </c>
      <c r="E58" s="17">
        <f>IF(D58&gt;=Assumptions!$C$23, "COMPLIANT", IF(D58&gt;=Assumptions!$C$24, "WARNING", "BREACH"))</f>
        <v/>
      </c>
      <c r="F58" s="25">
        <f>Data_Feed_Daily!B58</f>
        <v/>
      </c>
      <c r="G58" s="25">
        <f>ROUND(F58*Assumptions!$C$20*Assumptions!$C$21, 2)</f>
        <v/>
      </c>
      <c r="H58" s="25">
        <f>SUM($G$2:G58)</f>
        <v/>
      </c>
    </row>
    <row r="59">
      <c r="A59" s="19">
        <f>'Daily_Cash_Waterfall'!A59</f>
        <v/>
      </c>
      <c r="B59" s="27">
        <f>'Daily_Cash_Waterfall'!O59</f>
        <v/>
      </c>
      <c r="C59" s="27">
        <f>ROUND(AVERAGE('Daily_Cash_Waterfall'!$D$2:D59)*30*Assumptions!$C$22, 2)</f>
        <v/>
      </c>
      <c r="D59" s="30">
        <f>IF(C59&gt;0, B59/C59, 999.0)</f>
        <v/>
      </c>
      <c r="E59" s="19">
        <f>IF(D59&gt;=Assumptions!$C$23, "COMPLIANT", IF(D59&gt;=Assumptions!$C$24, "WARNING", "BREACH"))</f>
        <v/>
      </c>
      <c r="F59" s="27">
        <f>Data_Feed_Daily!B59</f>
        <v/>
      </c>
      <c r="G59" s="27">
        <f>ROUND(F59*Assumptions!$C$20*Assumptions!$C$21, 2)</f>
        <v/>
      </c>
      <c r="H59" s="27">
        <f>SUM($G$2:G59)</f>
        <v/>
      </c>
    </row>
    <row r="60">
      <c r="A60" s="17">
        <f>'Daily_Cash_Waterfall'!A60</f>
        <v/>
      </c>
      <c r="B60" s="25">
        <f>'Daily_Cash_Waterfall'!O60</f>
        <v/>
      </c>
      <c r="C60" s="25">
        <f>ROUND(AVERAGE('Daily_Cash_Waterfall'!$D$2:D60)*30*Assumptions!$C$22, 2)</f>
        <v/>
      </c>
      <c r="D60" s="12">
        <f>IF(C60&gt;0, B60/C60, 999.0)</f>
        <v/>
      </c>
      <c r="E60" s="17">
        <f>IF(D60&gt;=Assumptions!$C$23, "COMPLIANT", IF(D60&gt;=Assumptions!$C$24, "WARNING", "BREACH"))</f>
        <v/>
      </c>
      <c r="F60" s="25">
        <f>Data_Feed_Daily!B60</f>
        <v/>
      </c>
      <c r="G60" s="25">
        <f>ROUND(F60*Assumptions!$C$20*Assumptions!$C$21, 2)</f>
        <v/>
      </c>
      <c r="H60" s="25">
        <f>SUM($G$2:G60)</f>
        <v/>
      </c>
    </row>
    <row r="61">
      <c r="A61" s="19">
        <f>'Daily_Cash_Waterfall'!A61</f>
        <v/>
      </c>
      <c r="B61" s="27">
        <f>'Daily_Cash_Waterfall'!O61</f>
        <v/>
      </c>
      <c r="C61" s="27">
        <f>ROUND(AVERAGE('Daily_Cash_Waterfall'!$D$2:D61)*30*Assumptions!$C$22, 2)</f>
        <v/>
      </c>
      <c r="D61" s="30">
        <f>IF(C61&gt;0, B61/C61, 999.0)</f>
        <v/>
      </c>
      <c r="E61" s="19">
        <f>IF(D61&gt;=Assumptions!$C$23, "COMPLIANT", IF(D61&gt;=Assumptions!$C$24, "WARNING", "BREACH"))</f>
        <v/>
      </c>
      <c r="F61" s="27">
        <f>Data_Feed_Daily!B61</f>
        <v/>
      </c>
      <c r="G61" s="27">
        <f>ROUND(F61*Assumptions!$C$20*Assumptions!$C$21, 2)</f>
        <v/>
      </c>
      <c r="H61" s="27">
        <f>SUM($G$2:G61)</f>
        <v/>
      </c>
    </row>
    <row r="62">
      <c r="A62" s="17">
        <f>'Daily_Cash_Waterfall'!A62</f>
        <v/>
      </c>
      <c r="B62" s="25">
        <f>'Daily_Cash_Waterfall'!O62</f>
        <v/>
      </c>
      <c r="C62" s="25">
        <f>ROUND(AVERAGE('Daily_Cash_Waterfall'!$D$2:D62)*30*Assumptions!$C$22, 2)</f>
        <v/>
      </c>
      <c r="D62" s="12">
        <f>IF(C62&gt;0, B62/C62, 999.0)</f>
        <v/>
      </c>
      <c r="E62" s="17">
        <f>IF(D62&gt;=Assumptions!$C$23, "COMPLIANT", IF(D62&gt;=Assumptions!$C$24, "WARNING", "BREACH"))</f>
        <v/>
      </c>
      <c r="F62" s="25">
        <f>Data_Feed_Daily!B62</f>
        <v/>
      </c>
      <c r="G62" s="25">
        <f>ROUND(F62*Assumptions!$C$20*Assumptions!$C$21, 2)</f>
        <v/>
      </c>
      <c r="H62" s="25">
        <f>SUM($G$2:G62)</f>
        <v/>
      </c>
    </row>
    <row r="63">
      <c r="A63" s="19">
        <f>'Daily_Cash_Waterfall'!A63</f>
        <v/>
      </c>
      <c r="B63" s="27">
        <f>'Daily_Cash_Waterfall'!O63</f>
        <v/>
      </c>
      <c r="C63" s="27">
        <f>ROUND(AVERAGE('Daily_Cash_Waterfall'!$D$2:D63)*30*Assumptions!$C$22, 2)</f>
        <v/>
      </c>
      <c r="D63" s="30">
        <f>IF(C63&gt;0, B63/C63, 999.0)</f>
        <v/>
      </c>
      <c r="E63" s="19">
        <f>IF(D63&gt;=Assumptions!$C$23, "COMPLIANT", IF(D63&gt;=Assumptions!$C$24, "WARNING", "BREACH"))</f>
        <v/>
      </c>
      <c r="F63" s="27">
        <f>Data_Feed_Daily!B63</f>
        <v/>
      </c>
      <c r="G63" s="27">
        <f>ROUND(F63*Assumptions!$C$20*Assumptions!$C$21, 2)</f>
        <v/>
      </c>
      <c r="H63" s="27">
        <f>SUM($G$2:G63)</f>
        <v/>
      </c>
    </row>
    <row r="64">
      <c r="A64" s="17">
        <f>'Daily_Cash_Waterfall'!A64</f>
        <v/>
      </c>
      <c r="B64" s="25">
        <f>'Daily_Cash_Waterfall'!O64</f>
        <v/>
      </c>
      <c r="C64" s="25">
        <f>ROUND(AVERAGE('Daily_Cash_Waterfall'!$D$2:D64)*30*Assumptions!$C$22, 2)</f>
        <v/>
      </c>
      <c r="D64" s="12">
        <f>IF(C64&gt;0, B64/C64, 999.0)</f>
        <v/>
      </c>
      <c r="E64" s="17">
        <f>IF(D64&gt;=Assumptions!$C$23, "COMPLIANT", IF(D64&gt;=Assumptions!$C$24, "WARNING", "BREACH"))</f>
        <v/>
      </c>
      <c r="F64" s="25">
        <f>Data_Feed_Daily!B64</f>
        <v/>
      </c>
      <c r="G64" s="25">
        <f>ROUND(F64*Assumptions!$C$20*Assumptions!$C$21, 2)</f>
        <v/>
      </c>
      <c r="H64" s="25">
        <f>SUM($G$2:G64)</f>
        <v/>
      </c>
    </row>
    <row r="65">
      <c r="A65" s="19">
        <f>'Daily_Cash_Waterfall'!A65</f>
        <v/>
      </c>
      <c r="B65" s="27">
        <f>'Daily_Cash_Waterfall'!O65</f>
        <v/>
      </c>
      <c r="C65" s="27">
        <f>ROUND(AVERAGE('Daily_Cash_Waterfall'!$D$2:D65)*30*Assumptions!$C$22, 2)</f>
        <v/>
      </c>
      <c r="D65" s="30">
        <f>IF(C65&gt;0, B65/C65, 999.0)</f>
        <v/>
      </c>
      <c r="E65" s="19">
        <f>IF(D65&gt;=Assumptions!$C$23, "COMPLIANT", IF(D65&gt;=Assumptions!$C$24, "WARNING", "BREACH"))</f>
        <v/>
      </c>
      <c r="F65" s="27">
        <f>Data_Feed_Daily!B65</f>
        <v/>
      </c>
      <c r="G65" s="27">
        <f>ROUND(F65*Assumptions!$C$20*Assumptions!$C$21, 2)</f>
        <v/>
      </c>
      <c r="H65" s="27">
        <f>SUM($G$2:G65)</f>
        <v/>
      </c>
    </row>
    <row r="66">
      <c r="A66" s="17">
        <f>'Daily_Cash_Waterfall'!A66</f>
        <v/>
      </c>
      <c r="B66" s="25">
        <f>'Daily_Cash_Waterfall'!O66</f>
        <v/>
      </c>
      <c r="C66" s="25">
        <f>ROUND(AVERAGE('Daily_Cash_Waterfall'!$D$2:D66)*30*Assumptions!$C$22, 2)</f>
        <v/>
      </c>
      <c r="D66" s="12">
        <f>IF(C66&gt;0, B66/C66, 999.0)</f>
        <v/>
      </c>
      <c r="E66" s="17">
        <f>IF(D66&gt;=Assumptions!$C$23, "COMPLIANT", IF(D66&gt;=Assumptions!$C$24, "WARNING", "BREACH"))</f>
        <v/>
      </c>
      <c r="F66" s="25">
        <f>Data_Feed_Daily!B66</f>
        <v/>
      </c>
      <c r="G66" s="25">
        <f>ROUND(F66*Assumptions!$C$20*Assumptions!$C$21, 2)</f>
        <v/>
      </c>
      <c r="H66" s="25">
        <f>SUM($G$2:G66)</f>
        <v/>
      </c>
    </row>
    <row r="67">
      <c r="A67" s="19">
        <f>'Daily_Cash_Waterfall'!A67</f>
        <v/>
      </c>
      <c r="B67" s="27">
        <f>'Daily_Cash_Waterfall'!O67</f>
        <v/>
      </c>
      <c r="C67" s="27">
        <f>ROUND(AVERAGE('Daily_Cash_Waterfall'!$D$2:D67)*30*Assumptions!$C$22, 2)</f>
        <v/>
      </c>
      <c r="D67" s="30">
        <f>IF(C67&gt;0, B67/C67, 999.0)</f>
        <v/>
      </c>
      <c r="E67" s="19">
        <f>IF(D67&gt;=Assumptions!$C$23, "COMPLIANT", IF(D67&gt;=Assumptions!$C$24, "WARNING", "BREACH"))</f>
        <v/>
      </c>
      <c r="F67" s="27">
        <f>Data_Feed_Daily!B67</f>
        <v/>
      </c>
      <c r="G67" s="27">
        <f>ROUND(F67*Assumptions!$C$20*Assumptions!$C$21, 2)</f>
        <v/>
      </c>
      <c r="H67" s="27">
        <f>SUM($G$2:G67)</f>
        <v/>
      </c>
    </row>
    <row r="68">
      <c r="A68" s="17">
        <f>'Daily_Cash_Waterfall'!A68</f>
        <v/>
      </c>
      <c r="B68" s="25">
        <f>'Daily_Cash_Waterfall'!O68</f>
        <v/>
      </c>
      <c r="C68" s="25">
        <f>ROUND(AVERAGE('Daily_Cash_Waterfall'!$D$2:D68)*30*Assumptions!$C$22, 2)</f>
        <v/>
      </c>
      <c r="D68" s="12">
        <f>IF(C68&gt;0, B68/C68, 999.0)</f>
        <v/>
      </c>
      <c r="E68" s="17">
        <f>IF(D68&gt;=Assumptions!$C$23, "COMPLIANT", IF(D68&gt;=Assumptions!$C$24, "WARNING", "BREACH"))</f>
        <v/>
      </c>
      <c r="F68" s="25">
        <f>Data_Feed_Daily!B68</f>
        <v/>
      </c>
      <c r="G68" s="25">
        <f>ROUND(F68*Assumptions!$C$20*Assumptions!$C$21, 2)</f>
        <v/>
      </c>
      <c r="H68" s="25">
        <f>SUM($G$2:G68)</f>
        <v/>
      </c>
    </row>
    <row r="69">
      <c r="A69" s="19">
        <f>'Daily_Cash_Waterfall'!A69</f>
        <v/>
      </c>
      <c r="B69" s="27">
        <f>'Daily_Cash_Waterfall'!O69</f>
        <v/>
      </c>
      <c r="C69" s="27">
        <f>ROUND(AVERAGE('Daily_Cash_Waterfall'!$D$2:D69)*30*Assumptions!$C$22, 2)</f>
        <v/>
      </c>
      <c r="D69" s="30">
        <f>IF(C69&gt;0, B69/C69, 999.0)</f>
        <v/>
      </c>
      <c r="E69" s="19">
        <f>IF(D69&gt;=Assumptions!$C$23, "COMPLIANT", IF(D69&gt;=Assumptions!$C$24, "WARNING", "BREACH"))</f>
        <v/>
      </c>
      <c r="F69" s="27">
        <f>Data_Feed_Daily!B69</f>
        <v/>
      </c>
      <c r="G69" s="27">
        <f>ROUND(F69*Assumptions!$C$20*Assumptions!$C$21, 2)</f>
        <v/>
      </c>
      <c r="H69" s="27">
        <f>SUM($G$2:G69)</f>
        <v/>
      </c>
    </row>
    <row r="70">
      <c r="A70" s="17">
        <f>'Daily_Cash_Waterfall'!A70</f>
        <v/>
      </c>
      <c r="B70" s="25">
        <f>'Daily_Cash_Waterfall'!O70</f>
        <v/>
      </c>
      <c r="C70" s="25">
        <f>ROUND(AVERAGE('Daily_Cash_Waterfall'!$D$2:D70)*30*Assumptions!$C$22, 2)</f>
        <v/>
      </c>
      <c r="D70" s="12">
        <f>IF(C70&gt;0, B70/C70, 999.0)</f>
        <v/>
      </c>
      <c r="E70" s="17">
        <f>IF(D70&gt;=Assumptions!$C$23, "COMPLIANT", IF(D70&gt;=Assumptions!$C$24, "WARNING", "BREACH"))</f>
        <v/>
      </c>
      <c r="F70" s="25">
        <f>Data_Feed_Daily!B70</f>
        <v/>
      </c>
      <c r="G70" s="25">
        <f>ROUND(F70*Assumptions!$C$20*Assumptions!$C$21, 2)</f>
        <v/>
      </c>
      <c r="H70" s="25">
        <f>SUM($G$2:G70)</f>
        <v/>
      </c>
    </row>
    <row r="71">
      <c r="A71" s="19">
        <f>'Daily_Cash_Waterfall'!A71</f>
        <v/>
      </c>
      <c r="B71" s="27">
        <f>'Daily_Cash_Waterfall'!O71</f>
        <v/>
      </c>
      <c r="C71" s="27">
        <f>ROUND(AVERAGE('Daily_Cash_Waterfall'!$D$2:D71)*30*Assumptions!$C$22, 2)</f>
        <v/>
      </c>
      <c r="D71" s="30">
        <f>IF(C71&gt;0, B71/C71, 999.0)</f>
        <v/>
      </c>
      <c r="E71" s="19">
        <f>IF(D71&gt;=Assumptions!$C$23, "COMPLIANT", IF(D71&gt;=Assumptions!$C$24, "WARNING", "BREACH"))</f>
        <v/>
      </c>
      <c r="F71" s="27">
        <f>Data_Feed_Daily!B71</f>
        <v/>
      </c>
      <c r="G71" s="27">
        <f>ROUND(F71*Assumptions!$C$20*Assumptions!$C$21, 2)</f>
        <v/>
      </c>
      <c r="H71" s="27">
        <f>SUM($G$2:G71)</f>
        <v/>
      </c>
    </row>
    <row r="72">
      <c r="A72" s="17">
        <f>'Daily_Cash_Waterfall'!A72</f>
        <v/>
      </c>
      <c r="B72" s="25">
        <f>'Daily_Cash_Waterfall'!O72</f>
        <v/>
      </c>
      <c r="C72" s="25">
        <f>ROUND(AVERAGE('Daily_Cash_Waterfall'!$D$2:D72)*30*Assumptions!$C$22, 2)</f>
        <v/>
      </c>
      <c r="D72" s="12">
        <f>IF(C72&gt;0, B72/C72, 999.0)</f>
        <v/>
      </c>
      <c r="E72" s="17">
        <f>IF(D72&gt;=Assumptions!$C$23, "COMPLIANT", IF(D72&gt;=Assumptions!$C$24, "WARNING", "BREACH"))</f>
        <v/>
      </c>
      <c r="F72" s="25">
        <f>Data_Feed_Daily!B72</f>
        <v/>
      </c>
      <c r="G72" s="25">
        <f>ROUND(F72*Assumptions!$C$20*Assumptions!$C$21, 2)</f>
        <v/>
      </c>
      <c r="H72" s="25">
        <f>SUM($G$2:G72)</f>
        <v/>
      </c>
    </row>
    <row r="73">
      <c r="A73" s="19">
        <f>'Daily_Cash_Waterfall'!A73</f>
        <v/>
      </c>
      <c r="B73" s="27">
        <f>'Daily_Cash_Waterfall'!O73</f>
        <v/>
      </c>
      <c r="C73" s="27">
        <f>ROUND(AVERAGE('Daily_Cash_Waterfall'!$D$2:D73)*30*Assumptions!$C$22, 2)</f>
        <v/>
      </c>
      <c r="D73" s="30">
        <f>IF(C73&gt;0, B73/C73, 999.0)</f>
        <v/>
      </c>
      <c r="E73" s="19">
        <f>IF(D73&gt;=Assumptions!$C$23, "COMPLIANT", IF(D73&gt;=Assumptions!$C$24, "WARNING", "BREACH"))</f>
        <v/>
      </c>
      <c r="F73" s="27">
        <f>Data_Feed_Daily!B73</f>
        <v/>
      </c>
      <c r="G73" s="27">
        <f>ROUND(F73*Assumptions!$C$20*Assumptions!$C$21, 2)</f>
        <v/>
      </c>
      <c r="H73" s="27">
        <f>SUM($G$2:G73)</f>
        <v/>
      </c>
    </row>
    <row r="74">
      <c r="A74" s="17">
        <f>'Daily_Cash_Waterfall'!A74</f>
        <v/>
      </c>
      <c r="B74" s="25">
        <f>'Daily_Cash_Waterfall'!O74</f>
        <v/>
      </c>
      <c r="C74" s="25">
        <f>ROUND(AVERAGE('Daily_Cash_Waterfall'!$D$2:D74)*30*Assumptions!$C$22, 2)</f>
        <v/>
      </c>
      <c r="D74" s="12">
        <f>IF(C74&gt;0, B74/C74, 999.0)</f>
        <v/>
      </c>
      <c r="E74" s="17">
        <f>IF(D74&gt;=Assumptions!$C$23, "COMPLIANT", IF(D74&gt;=Assumptions!$C$24, "WARNING", "BREACH"))</f>
        <v/>
      </c>
      <c r="F74" s="25">
        <f>Data_Feed_Daily!B74</f>
        <v/>
      </c>
      <c r="G74" s="25">
        <f>ROUND(F74*Assumptions!$C$20*Assumptions!$C$21, 2)</f>
        <v/>
      </c>
      <c r="H74" s="25">
        <f>SUM($G$2:G74)</f>
        <v/>
      </c>
    </row>
    <row r="75">
      <c r="A75" s="19">
        <f>'Daily_Cash_Waterfall'!A75</f>
        <v/>
      </c>
      <c r="B75" s="27">
        <f>'Daily_Cash_Waterfall'!O75</f>
        <v/>
      </c>
      <c r="C75" s="27">
        <f>ROUND(AVERAGE('Daily_Cash_Waterfall'!$D$2:D75)*30*Assumptions!$C$22, 2)</f>
        <v/>
      </c>
      <c r="D75" s="30">
        <f>IF(C75&gt;0, B75/C75, 999.0)</f>
        <v/>
      </c>
      <c r="E75" s="19">
        <f>IF(D75&gt;=Assumptions!$C$23, "COMPLIANT", IF(D75&gt;=Assumptions!$C$24, "WARNING", "BREACH"))</f>
        <v/>
      </c>
      <c r="F75" s="27">
        <f>Data_Feed_Daily!B75</f>
        <v/>
      </c>
      <c r="G75" s="27">
        <f>ROUND(F75*Assumptions!$C$20*Assumptions!$C$21, 2)</f>
        <v/>
      </c>
      <c r="H75" s="27">
        <f>SUM($G$2:G75)</f>
        <v/>
      </c>
    </row>
    <row r="76">
      <c r="A76" s="17">
        <f>'Daily_Cash_Waterfall'!A76</f>
        <v/>
      </c>
      <c r="B76" s="25">
        <f>'Daily_Cash_Waterfall'!O76</f>
        <v/>
      </c>
      <c r="C76" s="25">
        <f>ROUND(AVERAGE('Daily_Cash_Waterfall'!$D$2:D76)*30*Assumptions!$C$22, 2)</f>
        <v/>
      </c>
      <c r="D76" s="12">
        <f>IF(C76&gt;0, B76/C76, 999.0)</f>
        <v/>
      </c>
      <c r="E76" s="17">
        <f>IF(D76&gt;=Assumptions!$C$23, "COMPLIANT", IF(D76&gt;=Assumptions!$C$24, "WARNING", "BREACH"))</f>
        <v/>
      </c>
      <c r="F76" s="25">
        <f>Data_Feed_Daily!B76</f>
        <v/>
      </c>
      <c r="G76" s="25">
        <f>ROUND(F76*Assumptions!$C$20*Assumptions!$C$21, 2)</f>
        <v/>
      </c>
      <c r="H76" s="25">
        <f>SUM($G$2:G76)</f>
        <v/>
      </c>
    </row>
    <row r="77">
      <c r="A77" s="19">
        <f>'Daily_Cash_Waterfall'!A77</f>
        <v/>
      </c>
      <c r="B77" s="27">
        <f>'Daily_Cash_Waterfall'!O77</f>
        <v/>
      </c>
      <c r="C77" s="27">
        <f>ROUND(AVERAGE('Daily_Cash_Waterfall'!$D$2:D77)*30*Assumptions!$C$22, 2)</f>
        <v/>
      </c>
      <c r="D77" s="30">
        <f>IF(C77&gt;0, B77/C77, 999.0)</f>
        <v/>
      </c>
      <c r="E77" s="19">
        <f>IF(D77&gt;=Assumptions!$C$23, "COMPLIANT", IF(D77&gt;=Assumptions!$C$24, "WARNING", "BREACH"))</f>
        <v/>
      </c>
      <c r="F77" s="27">
        <f>Data_Feed_Daily!B77</f>
        <v/>
      </c>
      <c r="G77" s="27">
        <f>ROUND(F77*Assumptions!$C$20*Assumptions!$C$21, 2)</f>
        <v/>
      </c>
      <c r="H77" s="27">
        <f>SUM($G$2:G77)</f>
        <v/>
      </c>
    </row>
    <row r="78">
      <c r="A78" s="17">
        <f>'Daily_Cash_Waterfall'!A78</f>
        <v/>
      </c>
      <c r="B78" s="25">
        <f>'Daily_Cash_Waterfall'!O78</f>
        <v/>
      </c>
      <c r="C78" s="25">
        <f>ROUND(AVERAGE('Daily_Cash_Waterfall'!$D$2:D78)*30*Assumptions!$C$22, 2)</f>
        <v/>
      </c>
      <c r="D78" s="12">
        <f>IF(C78&gt;0, B78/C78, 999.0)</f>
        <v/>
      </c>
      <c r="E78" s="17">
        <f>IF(D78&gt;=Assumptions!$C$23, "COMPLIANT", IF(D78&gt;=Assumptions!$C$24, "WARNING", "BREACH"))</f>
        <v/>
      </c>
      <c r="F78" s="25">
        <f>Data_Feed_Daily!B78</f>
        <v/>
      </c>
      <c r="G78" s="25">
        <f>ROUND(F78*Assumptions!$C$20*Assumptions!$C$21, 2)</f>
        <v/>
      </c>
      <c r="H78" s="25">
        <f>SUM($G$2:G78)</f>
        <v/>
      </c>
    </row>
    <row r="79">
      <c r="A79" s="19">
        <f>'Daily_Cash_Waterfall'!A79</f>
        <v/>
      </c>
      <c r="B79" s="27">
        <f>'Daily_Cash_Waterfall'!O79</f>
        <v/>
      </c>
      <c r="C79" s="27">
        <f>ROUND(AVERAGE('Daily_Cash_Waterfall'!$D$2:D79)*30*Assumptions!$C$22, 2)</f>
        <v/>
      </c>
      <c r="D79" s="30">
        <f>IF(C79&gt;0, B79/C79, 999.0)</f>
        <v/>
      </c>
      <c r="E79" s="19">
        <f>IF(D79&gt;=Assumptions!$C$23, "COMPLIANT", IF(D79&gt;=Assumptions!$C$24, "WARNING", "BREACH"))</f>
        <v/>
      </c>
      <c r="F79" s="27">
        <f>Data_Feed_Daily!B79</f>
        <v/>
      </c>
      <c r="G79" s="27">
        <f>ROUND(F79*Assumptions!$C$20*Assumptions!$C$21, 2)</f>
        <v/>
      </c>
      <c r="H79" s="27">
        <f>SUM($G$2:G79)</f>
        <v/>
      </c>
    </row>
    <row r="80">
      <c r="A80" s="17">
        <f>'Daily_Cash_Waterfall'!A80</f>
        <v/>
      </c>
      <c r="B80" s="25">
        <f>'Daily_Cash_Waterfall'!O80</f>
        <v/>
      </c>
      <c r="C80" s="25">
        <f>ROUND(AVERAGE('Daily_Cash_Waterfall'!$D$2:D80)*30*Assumptions!$C$22, 2)</f>
        <v/>
      </c>
      <c r="D80" s="12">
        <f>IF(C80&gt;0, B80/C80, 999.0)</f>
        <v/>
      </c>
      <c r="E80" s="17">
        <f>IF(D80&gt;=Assumptions!$C$23, "COMPLIANT", IF(D80&gt;=Assumptions!$C$24, "WARNING", "BREACH"))</f>
        <v/>
      </c>
      <c r="F80" s="25">
        <f>Data_Feed_Daily!B80</f>
        <v/>
      </c>
      <c r="G80" s="25">
        <f>ROUND(F80*Assumptions!$C$20*Assumptions!$C$21, 2)</f>
        <v/>
      </c>
      <c r="H80" s="25">
        <f>SUM($G$2:G80)</f>
        <v/>
      </c>
    </row>
    <row r="81">
      <c r="A81" s="19">
        <f>'Daily_Cash_Waterfall'!A81</f>
        <v/>
      </c>
      <c r="B81" s="27">
        <f>'Daily_Cash_Waterfall'!O81</f>
        <v/>
      </c>
      <c r="C81" s="27">
        <f>ROUND(AVERAGE('Daily_Cash_Waterfall'!$D$2:D81)*30*Assumptions!$C$22, 2)</f>
        <v/>
      </c>
      <c r="D81" s="30">
        <f>IF(C81&gt;0, B81/C81, 999.0)</f>
        <v/>
      </c>
      <c r="E81" s="19">
        <f>IF(D81&gt;=Assumptions!$C$23, "COMPLIANT", IF(D81&gt;=Assumptions!$C$24, "WARNING", "BREACH"))</f>
        <v/>
      </c>
      <c r="F81" s="27">
        <f>Data_Feed_Daily!B81</f>
        <v/>
      </c>
      <c r="G81" s="27">
        <f>ROUND(F81*Assumptions!$C$20*Assumptions!$C$21, 2)</f>
        <v/>
      </c>
      <c r="H81" s="27">
        <f>SUM($G$2:G81)</f>
        <v/>
      </c>
    </row>
    <row r="82">
      <c r="A82" s="17">
        <f>'Daily_Cash_Waterfall'!A82</f>
        <v/>
      </c>
      <c r="B82" s="25">
        <f>'Daily_Cash_Waterfall'!O82</f>
        <v/>
      </c>
      <c r="C82" s="25">
        <f>ROUND(AVERAGE('Daily_Cash_Waterfall'!$D$2:D82)*30*Assumptions!$C$22, 2)</f>
        <v/>
      </c>
      <c r="D82" s="12">
        <f>IF(C82&gt;0, B82/C82, 999.0)</f>
        <v/>
      </c>
      <c r="E82" s="17">
        <f>IF(D82&gt;=Assumptions!$C$23, "COMPLIANT", IF(D82&gt;=Assumptions!$C$24, "WARNING", "BREACH"))</f>
        <v/>
      </c>
      <c r="F82" s="25">
        <f>Data_Feed_Daily!B82</f>
        <v/>
      </c>
      <c r="G82" s="25">
        <f>ROUND(F82*Assumptions!$C$20*Assumptions!$C$21, 2)</f>
        <v/>
      </c>
      <c r="H82" s="25">
        <f>SUM($G$2:G82)</f>
        <v/>
      </c>
    </row>
    <row r="83">
      <c r="A83" s="19">
        <f>'Daily_Cash_Waterfall'!A83</f>
        <v/>
      </c>
      <c r="B83" s="27">
        <f>'Daily_Cash_Waterfall'!O83</f>
        <v/>
      </c>
      <c r="C83" s="27">
        <f>ROUND(AVERAGE('Daily_Cash_Waterfall'!$D$2:D83)*30*Assumptions!$C$22, 2)</f>
        <v/>
      </c>
      <c r="D83" s="30">
        <f>IF(C83&gt;0, B83/C83, 999.0)</f>
        <v/>
      </c>
      <c r="E83" s="19">
        <f>IF(D83&gt;=Assumptions!$C$23, "COMPLIANT", IF(D83&gt;=Assumptions!$C$24, "WARNING", "BREACH"))</f>
        <v/>
      </c>
      <c r="F83" s="27">
        <f>Data_Feed_Daily!B83</f>
        <v/>
      </c>
      <c r="G83" s="27">
        <f>ROUND(F83*Assumptions!$C$20*Assumptions!$C$21, 2)</f>
        <v/>
      </c>
      <c r="H83" s="27">
        <f>SUM($G$2:G83)</f>
        <v/>
      </c>
    </row>
    <row r="84">
      <c r="A84" s="17">
        <f>'Daily_Cash_Waterfall'!A84</f>
        <v/>
      </c>
      <c r="B84" s="25">
        <f>'Daily_Cash_Waterfall'!O84</f>
        <v/>
      </c>
      <c r="C84" s="25">
        <f>ROUND(AVERAGE('Daily_Cash_Waterfall'!$D$2:D84)*30*Assumptions!$C$22, 2)</f>
        <v/>
      </c>
      <c r="D84" s="12">
        <f>IF(C84&gt;0, B84/C84, 999.0)</f>
        <v/>
      </c>
      <c r="E84" s="17">
        <f>IF(D84&gt;=Assumptions!$C$23, "COMPLIANT", IF(D84&gt;=Assumptions!$C$24, "WARNING", "BREACH"))</f>
        <v/>
      </c>
      <c r="F84" s="25">
        <f>Data_Feed_Daily!B84</f>
        <v/>
      </c>
      <c r="G84" s="25">
        <f>ROUND(F84*Assumptions!$C$20*Assumptions!$C$21, 2)</f>
        <v/>
      </c>
      <c r="H84" s="25">
        <f>SUM($G$2:G84)</f>
        <v/>
      </c>
    </row>
    <row r="85">
      <c r="A85" s="19">
        <f>'Daily_Cash_Waterfall'!A85</f>
        <v/>
      </c>
      <c r="B85" s="27">
        <f>'Daily_Cash_Waterfall'!O85</f>
        <v/>
      </c>
      <c r="C85" s="27">
        <f>ROUND(AVERAGE('Daily_Cash_Waterfall'!$D$2:D85)*30*Assumptions!$C$22, 2)</f>
        <v/>
      </c>
      <c r="D85" s="30">
        <f>IF(C85&gt;0, B85/C85, 999.0)</f>
        <v/>
      </c>
      <c r="E85" s="19">
        <f>IF(D85&gt;=Assumptions!$C$23, "COMPLIANT", IF(D85&gt;=Assumptions!$C$24, "WARNING", "BREACH"))</f>
        <v/>
      </c>
      <c r="F85" s="27">
        <f>Data_Feed_Daily!B85</f>
        <v/>
      </c>
      <c r="G85" s="27">
        <f>ROUND(F85*Assumptions!$C$20*Assumptions!$C$21, 2)</f>
        <v/>
      </c>
      <c r="H85" s="27">
        <f>SUM($G$2:G85)</f>
        <v/>
      </c>
    </row>
    <row r="86">
      <c r="A86" s="17">
        <f>'Daily_Cash_Waterfall'!A86</f>
        <v/>
      </c>
      <c r="B86" s="25">
        <f>'Daily_Cash_Waterfall'!O86</f>
        <v/>
      </c>
      <c r="C86" s="25">
        <f>ROUND(AVERAGE('Daily_Cash_Waterfall'!$D$2:D86)*30*Assumptions!$C$22, 2)</f>
        <v/>
      </c>
      <c r="D86" s="12">
        <f>IF(C86&gt;0, B86/C86, 999.0)</f>
        <v/>
      </c>
      <c r="E86" s="17">
        <f>IF(D86&gt;=Assumptions!$C$23, "COMPLIANT", IF(D86&gt;=Assumptions!$C$24, "WARNING", "BREACH"))</f>
        <v/>
      </c>
      <c r="F86" s="25">
        <f>Data_Feed_Daily!B86</f>
        <v/>
      </c>
      <c r="G86" s="25">
        <f>ROUND(F86*Assumptions!$C$20*Assumptions!$C$21, 2)</f>
        <v/>
      </c>
      <c r="H86" s="25">
        <f>SUM($G$2:G86)</f>
        <v/>
      </c>
    </row>
    <row r="87">
      <c r="A87" s="19">
        <f>'Daily_Cash_Waterfall'!A87</f>
        <v/>
      </c>
      <c r="B87" s="27">
        <f>'Daily_Cash_Waterfall'!O87</f>
        <v/>
      </c>
      <c r="C87" s="27">
        <f>ROUND(AVERAGE('Daily_Cash_Waterfall'!$D$2:D87)*30*Assumptions!$C$22, 2)</f>
        <v/>
      </c>
      <c r="D87" s="30">
        <f>IF(C87&gt;0, B87/C87, 999.0)</f>
        <v/>
      </c>
      <c r="E87" s="19">
        <f>IF(D87&gt;=Assumptions!$C$23, "COMPLIANT", IF(D87&gt;=Assumptions!$C$24, "WARNING", "BREACH"))</f>
        <v/>
      </c>
      <c r="F87" s="27">
        <f>Data_Feed_Daily!B87</f>
        <v/>
      </c>
      <c r="G87" s="27">
        <f>ROUND(F87*Assumptions!$C$20*Assumptions!$C$21, 2)</f>
        <v/>
      </c>
      <c r="H87" s="27">
        <f>SUM($G$2:G87)</f>
        <v/>
      </c>
    </row>
    <row r="88">
      <c r="A88" s="17">
        <f>'Daily_Cash_Waterfall'!A88</f>
        <v/>
      </c>
      <c r="B88" s="25">
        <f>'Daily_Cash_Waterfall'!O88</f>
        <v/>
      </c>
      <c r="C88" s="25">
        <f>ROUND(AVERAGE('Daily_Cash_Waterfall'!$D$2:D88)*30*Assumptions!$C$22, 2)</f>
        <v/>
      </c>
      <c r="D88" s="12">
        <f>IF(C88&gt;0, B88/C88, 999.0)</f>
        <v/>
      </c>
      <c r="E88" s="17">
        <f>IF(D88&gt;=Assumptions!$C$23, "COMPLIANT", IF(D88&gt;=Assumptions!$C$24, "WARNING", "BREACH"))</f>
        <v/>
      </c>
      <c r="F88" s="25">
        <f>Data_Feed_Daily!B88</f>
        <v/>
      </c>
      <c r="G88" s="25">
        <f>ROUND(F88*Assumptions!$C$20*Assumptions!$C$21, 2)</f>
        <v/>
      </c>
      <c r="H88" s="25">
        <f>SUM($G$2:G88)</f>
        <v/>
      </c>
    </row>
    <row r="89">
      <c r="A89" s="19">
        <f>'Daily_Cash_Waterfall'!A89</f>
        <v/>
      </c>
      <c r="B89" s="27">
        <f>'Daily_Cash_Waterfall'!O89</f>
        <v/>
      </c>
      <c r="C89" s="27">
        <f>ROUND(AVERAGE('Daily_Cash_Waterfall'!$D$2:D89)*30*Assumptions!$C$22, 2)</f>
        <v/>
      </c>
      <c r="D89" s="30">
        <f>IF(C89&gt;0, B89/C89, 999.0)</f>
        <v/>
      </c>
      <c r="E89" s="19">
        <f>IF(D89&gt;=Assumptions!$C$23, "COMPLIANT", IF(D89&gt;=Assumptions!$C$24, "WARNING", "BREACH"))</f>
        <v/>
      </c>
      <c r="F89" s="27">
        <f>Data_Feed_Daily!B89</f>
        <v/>
      </c>
      <c r="G89" s="27">
        <f>ROUND(F89*Assumptions!$C$20*Assumptions!$C$21, 2)</f>
        <v/>
      </c>
      <c r="H89" s="27">
        <f>SUM($G$2:G89)</f>
        <v/>
      </c>
    </row>
    <row r="90">
      <c r="A90" s="17">
        <f>'Daily_Cash_Waterfall'!A90</f>
        <v/>
      </c>
      <c r="B90" s="25">
        <f>'Daily_Cash_Waterfall'!O90</f>
        <v/>
      </c>
      <c r="C90" s="25">
        <f>ROUND(AVERAGE('Daily_Cash_Waterfall'!$D$2:D90)*30*Assumptions!$C$22, 2)</f>
        <v/>
      </c>
      <c r="D90" s="12">
        <f>IF(C90&gt;0, B90/C90, 999.0)</f>
        <v/>
      </c>
      <c r="E90" s="17">
        <f>IF(D90&gt;=Assumptions!$C$23, "COMPLIANT", IF(D90&gt;=Assumptions!$C$24, "WARNING", "BREACH"))</f>
        <v/>
      </c>
      <c r="F90" s="25">
        <f>Data_Feed_Daily!B90</f>
        <v/>
      </c>
      <c r="G90" s="25">
        <f>ROUND(F90*Assumptions!$C$20*Assumptions!$C$21, 2)</f>
        <v/>
      </c>
      <c r="H90" s="25">
        <f>SUM($G$2:G90)</f>
        <v/>
      </c>
    </row>
    <row r="91">
      <c r="A91" s="19">
        <f>'Daily_Cash_Waterfall'!A91</f>
        <v/>
      </c>
      <c r="B91" s="27">
        <f>'Daily_Cash_Waterfall'!O91</f>
        <v/>
      </c>
      <c r="C91" s="27">
        <f>ROUND(AVERAGE('Daily_Cash_Waterfall'!$D$2:D91)*30*Assumptions!$C$22, 2)</f>
        <v/>
      </c>
      <c r="D91" s="30">
        <f>IF(C91&gt;0, B91/C91, 999.0)</f>
        <v/>
      </c>
      <c r="E91" s="19">
        <f>IF(D91&gt;=Assumptions!$C$23, "COMPLIANT", IF(D91&gt;=Assumptions!$C$24, "WARNING", "BREACH"))</f>
        <v/>
      </c>
      <c r="F91" s="27">
        <f>Data_Feed_Daily!B91</f>
        <v/>
      </c>
      <c r="G91" s="27">
        <f>ROUND(F91*Assumptions!$C$20*Assumptions!$C$21, 2)</f>
        <v/>
      </c>
      <c r="H91" s="27">
        <f>SUM($G$2:G91)</f>
        <v/>
      </c>
    </row>
    <row r="92">
      <c r="A92" s="17">
        <f>'Daily_Cash_Waterfall'!A92</f>
        <v/>
      </c>
      <c r="B92" s="25">
        <f>'Daily_Cash_Waterfall'!O92</f>
        <v/>
      </c>
      <c r="C92" s="25">
        <f>ROUND(AVERAGE('Daily_Cash_Waterfall'!$D$2:D92)*30*Assumptions!$C$22, 2)</f>
        <v/>
      </c>
      <c r="D92" s="12">
        <f>IF(C92&gt;0, B92/C92, 999.0)</f>
        <v/>
      </c>
      <c r="E92" s="17">
        <f>IF(D92&gt;=Assumptions!$C$23, "COMPLIANT", IF(D92&gt;=Assumptions!$C$24, "WARNING", "BREACH"))</f>
        <v/>
      </c>
      <c r="F92" s="25">
        <f>Data_Feed_Daily!B92</f>
        <v/>
      </c>
      <c r="G92" s="25">
        <f>ROUND(F92*Assumptions!$C$20*Assumptions!$C$21, 2)</f>
        <v/>
      </c>
      <c r="H92" s="25">
        <f>SUM($G$2:G92)</f>
        <v/>
      </c>
    </row>
    <row r="93">
      <c r="A93" s="19">
        <f>'Daily_Cash_Waterfall'!A93</f>
        <v/>
      </c>
      <c r="B93" s="27">
        <f>'Daily_Cash_Waterfall'!O93</f>
        <v/>
      </c>
      <c r="C93" s="27">
        <f>ROUND(AVERAGE('Daily_Cash_Waterfall'!$D$2:D93)*30*Assumptions!$C$22, 2)</f>
        <v/>
      </c>
      <c r="D93" s="30">
        <f>IF(C93&gt;0, B93/C93, 999.0)</f>
        <v/>
      </c>
      <c r="E93" s="19">
        <f>IF(D93&gt;=Assumptions!$C$23, "COMPLIANT", IF(D93&gt;=Assumptions!$C$24, "WARNING", "BREACH"))</f>
        <v/>
      </c>
      <c r="F93" s="27">
        <f>Data_Feed_Daily!B93</f>
        <v/>
      </c>
      <c r="G93" s="27">
        <f>ROUND(F93*Assumptions!$C$20*Assumptions!$C$21, 2)</f>
        <v/>
      </c>
      <c r="H93" s="27">
        <f>SUM($G$2:G93)</f>
        <v/>
      </c>
    </row>
    <row r="94">
      <c r="A94" s="17">
        <f>'Daily_Cash_Waterfall'!A94</f>
        <v/>
      </c>
      <c r="B94" s="25">
        <f>'Daily_Cash_Waterfall'!O94</f>
        <v/>
      </c>
      <c r="C94" s="25">
        <f>ROUND(AVERAGE('Daily_Cash_Waterfall'!$D$2:D94)*30*Assumptions!$C$22, 2)</f>
        <v/>
      </c>
      <c r="D94" s="12">
        <f>IF(C94&gt;0, B94/C94, 999.0)</f>
        <v/>
      </c>
      <c r="E94" s="17">
        <f>IF(D94&gt;=Assumptions!$C$23, "COMPLIANT", IF(D94&gt;=Assumptions!$C$24, "WARNING", "BREACH"))</f>
        <v/>
      </c>
      <c r="F94" s="25">
        <f>Data_Feed_Daily!B94</f>
        <v/>
      </c>
      <c r="G94" s="25">
        <f>ROUND(F94*Assumptions!$C$20*Assumptions!$C$21, 2)</f>
        <v/>
      </c>
      <c r="H94" s="25">
        <f>SUM($G$2:G94)</f>
        <v/>
      </c>
    </row>
    <row r="95">
      <c r="A95" s="19">
        <f>'Daily_Cash_Waterfall'!A95</f>
        <v/>
      </c>
      <c r="B95" s="27">
        <f>'Daily_Cash_Waterfall'!O95</f>
        <v/>
      </c>
      <c r="C95" s="27">
        <f>ROUND(AVERAGE('Daily_Cash_Waterfall'!$D$2:D95)*30*Assumptions!$C$22, 2)</f>
        <v/>
      </c>
      <c r="D95" s="30">
        <f>IF(C95&gt;0, B95/C95, 999.0)</f>
        <v/>
      </c>
      <c r="E95" s="19">
        <f>IF(D95&gt;=Assumptions!$C$23, "COMPLIANT", IF(D95&gt;=Assumptions!$C$24, "WARNING", "BREACH"))</f>
        <v/>
      </c>
      <c r="F95" s="27">
        <f>Data_Feed_Daily!B95</f>
        <v/>
      </c>
      <c r="G95" s="27">
        <f>ROUND(F95*Assumptions!$C$20*Assumptions!$C$21, 2)</f>
        <v/>
      </c>
      <c r="H95" s="27">
        <f>SUM($G$2:G95)</f>
        <v/>
      </c>
    </row>
    <row r="96">
      <c r="A96" s="17">
        <f>'Daily_Cash_Waterfall'!A96</f>
        <v/>
      </c>
      <c r="B96" s="25">
        <f>'Daily_Cash_Waterfall'!O96</f>
        <v/>
      </c>
      <c r="C96" s="25">
        <f>ROUND(AVERAGE('Daily_Cash_Waterfall'!$D$2:D96)*30*Assumptions!$C$22, 2)</f>
        <v/>
      </c>
      <c r="D96" s="12">
        <f>IF(C96&gt;0, B96/C96, 999.0)</f>
        <v/>
      </c>
      <c r="E96" s="17">
        <f>IF(D96&gt;=Assumptions!$C$23, "COMPLIANT", IF(D96&gt;=Assumptions!$C$24, "WARNING", "BREACH"))</f>
        <v/>
      </c>
      <c r="F96" s="25">
        <f>Data_Feed_Daily!B96</f>
        <v/>
      </c>
      <c r="G96" s="25">
        <f>ROUND(F96*Assumptions!$C$20*Assumptions!$C$21, 2)</f>
        <v/>
      </c>
      <c r="H96" s="25">
        <f>SUM($G$2:G96)</f>
        <v/>
      </c>
    </row>
    <row r="97">
      <c r="A97" s="19">
        <f>'Daily_Cash_Waterfall'!A97</f>
        <v/>
      </c>
      <c r="B97" s="27">
        <f>'Daily_Cash_Waterfall'!O97</f>
        <v/>
      </c>
      <c r="C97" s="27">
        <f>ROUND(AVERAGE('Daily_Cash_Waterfall'!$D$2:D97)*30*Assumptions!$C$22, 2)</f>
        <v/>
      </c>
      <c r="D97" s="30">
        <f>IF(C97&gt;0, B97/C97, 999.0)</f>
        <v/>
      </c>
      <c r="E97" s="19">
        <f>IF(D97&gt;=Assumptions!$C$23, "COMPLIANT", IF(D97&gt;=Assumptions!$C$24, "WARNING", "BREACH"))</f>
        <v/>
      </c>
      <c r="F97" s="27">
        <f>Data_Feed_Daily!B97</f>
        <v/>
      </c>
      <c r="G97" s="27">
        <f>ROUND(F97*Assumptions!$C$20*Assumptions!$C$21, 2)</f>
        <v/>
      </c>
      <c r="H97" s="27">
        <f>SUM($G$2:G97)</f>
        <v/>
      </c>
    </row>
    <row r="98">
      <c r="A98" s="17">
        <f>'Daily_Cash_Waterfall'!A98</f>
        <v/>
      </c>
      <c r="B98" s="25">
        <f>'Daily_Cash_Waterfall'!O98</f>
        <v/>
      </c>
      <c r="C98" s="25">
        <f>ROUND(AVERAGE('Daily_Cash_Waterfall'!$D$2:D98)*30*Assumptions!$C$22, 2)</f>
        <v/>
      </c>
      <c r="D98" s="12">
        <f>IF(C98&gt;0, B98/C98, 999.0)</f>
        <v/>
      </c>
      <c r="E98" s="17">
        <f>IF(D98&gt;=Assumptions!$C$23, "COMPLIANT", IF(D98&gt;=Assumptions!$C$24, "WARNING", "BREACH"))</f>
        <v/>
      </c>
      <c r="F98" s="25">
        <f>Data_Feed_Daily!B98</f>
        <v/>
      </c>
      <c r="G98" s="25">
        <f>ROUND(F98*Assumptions!$C$20*Assumptions!$C$21, 2)</f>
        <v/>
      </c>
      <c r="H98" s="25">
        <f>SUM($G$2:G98)</f>
        <v/>
      </c>
    </row>
    <row r="99">
      <c r="A99" s="19">
        <f>'Daily_Cash_Waterfall'!A99</f>
        <v/>
      </c>
      <c r="B99" s="27">
        <f>'Daily_Cash_Waterfall'!O99</f>
        <v/>
      </c>
      <c r="C99" s="27">
        <f>ROUND(AVERAGE('Daily_Cash_Waterfall'!$D$2:D99)*30*Assumptions!$C$22, 2)</f>
        <v/>
      </c>
      <c r="D99" s="30">
        <f>IF(C99&gt;0, B99/C99, 999.0)</f>
        <v/>
      </c>
      <c r="E99" s="19">
        <f>IF(D99&gt;=Assumptions!$C$23, "COMPLIANT", IF(D99&gt;=Assumptions!$C$24, "WARNING", "BREACH"))</f>
        <v/>
      </c>
      <c r="F99" s="27">
        <f>Data_Feed_Daily!B99</f>
        <v/>
      </c>
      <c r="G99" s="27">
        <f>ROUND(F99*Assumptions!$C$20*Assumptions!$C$21, 2)</f>
        <v/>
      </c>
      <c r="H99" s="27">
        <f>SUM($G$2:G99)</f>
        <v/>
      </c>
    </row>
    <row r="100">
      <c r="A100" s="17">
        <f>'Daily_Cash_Waterfall'!A100</f>
        <v/>
      </c>
      <c r="B100" s="25">
        <f>'Daily_Cash_Waterfall'!O100</f>
        <v/>
      </c>
      <c r="C100" s="25">
        <f>ROUND(AVERAGE('Daily_Cash_Waterfall'!$D$2:D100)*30*Assumptions!$C$22, 2)</f>
        <v/>
      </c>
      <c r="D100" s="12">
        <f>IF(C100&gt;0, B100/C100, 999.0)</f>
        <v/>
      </c>
      <c r="E100" s="17">
        <f>IF(D100&gt;=Assumptions!$C$23, "COMPLIANT", IF(D100&gt;=Assumptions!$C$24, "WARNING", "BREACH"))</f>
        <v/>
      </c>
      <c r="F100" s="25">
        <f>Data_Feed_Daily!B100</f>
        <v/>
      </c>
      <c r="G100" s="25">
        <f>ROUND(F100*Assumptions!$C$20*Assumptions!$C$21, 2)</f>
        <v/>
      </c>
      <c r="H100" s="25">
        <f>SUM($G$2:G100)</f>
        <v/>
      </c>
    </row>
    <row r="101">
      <c r="A101" s="19">
        <f>'Daily_Cash_Waterfall'!A101</f>
        <v/>
      </c>
      <c r="B101" s="27">
        <f>'Daily_Cash_Waterfall'!O101</f>
        <v/>
      </c>
      <c r="C101" s="27">
        <f>ROUND(AVERAGE('Daily_Cash_Waterfall'!$D$2:D101)*30*Assumptions!$C$22, 2)</f>
        <v/>
      </c>
      <c r="D101" s="30">
        <f>IF(C101&gt;0, B101/C101, 999.0)</f>
        <v/>
      </c>
      <c r="E101" s="19">
        <f>IF(D101&gt;=Assumptions!$C$23, "COMPLIANT", IF(D101&gt;=Assumptions!$C$24, "WARNING", "BREACH"))</f>
        <v/>
      </c>
      <c r="F101" s="27">
        <f>Data_Feed_Daily!B101</f>
        <v/>
      </c>
      <c r="G101" s="27">
        <f>ROUND(F101*Assumptions!$C$20*Assumptions!$C$21, 2)</f>
        <v/>
      </c>
      <c r="H101" s="27">
        <f>SUM($G$2:G101)</f>
        <v/>
      </c>
    </row>
    <row r="102">
      <c r="A102" s="17">
        <f>'Daily_Cash_Waterfall'!A102</f>
        <v/>
      </c>
      <c r="B102" s="25">
        <f>'Daily_Cash_Waterfall'!O102</f>
        <v/>
      </c>
      <c r="C102" s="25">
        <f>ROUND(AVERAGE('Daily_Cash_Waterfall'!$D$2:D102)*30*Assumptions!$C$22, 2)</f>
        <v/>
      </c>
      <c r="D102" s="12">
        <f>IF(C102&gt;0, B102/C102, 999.0)</f>
        <v/>
      </c>
      <c r="E102" s="17">
        <f>IF(D102&gt;=Assumptions!$C$23, "COMPLIANT", IF(D102&gt;=Assumptions!$C$24, "WARNING", "BREACH"))</f>
        <v/>
      </c>
      <c r="F102" s="25">
        <f>Data_Feed_Daily!B102</f>
        <v/>
      </c>
      <c r="G102" s="25">
        <f>ROUND(F102*Assumptions!$C$20*Assumptions!$C$21, 2)</f>
        <v/>
      </c>
      <c r="H102" s="25">
        <f>SUM($G$2:G102)</f>
        <v/>
      </c>
    </row>
    <row r="103">
      <c r="A103" s="19">
        <f>'Daily_Cash_Waterfall'!A103</f>
        <v/>
      </c>
      <c r="B103" s="27">
        <f>'Daily_Cash_Waterfall'!O103</f>
        <v/>
      </c>
      <c r="C103" s="27">
        <f>ROUND(AVERAGE('Daily_Cash_Waterfall'!$D$2:D103)*30*Assumptions!$C$22, 2)</f>
        <v/>
      </c>
      <c r="D103" s="30">
        <f>IF(C103&gt;0, B103/C103, 999.0)</f>
        <v/>
      </c>
      <c r="E103" s="19">
        <f>IF(D103&gt;=Assumptions!$C$23, "COMPLIANT", IF(D103&gt;=Assumptions!$C$24, "WARNING", "BREACH"))</f>
        <v/>
      </c>
      <c r="F103" s="27">
        <f>Data_Feed_Daily!B103</f>
        <v/>
      </c>
      <c r="G103" s="27">
        <f>ROUND(F103*Assumptions!$C$20*Assumptions!$C$21, 2)</f>
        <v/>
      </c>
      <c r="H103" s="27">
        <f>SUM($G$2:G103)</f>
        <v/>
      </c>
    </row>
    <row r="104">
      <c r="A104" s="17">
        <f>'Daily_Cash_Waterfall'!A104</f>
        <v/>
      </c>
      <c r="B104" s="25">
        <f>'Daily_Cash_Waterfall'!O104</f>
        <v/>
      </c>
      <c r="C104" s="25">
        <f>ROUND(AVERAGE('Daily_Cash_Waterfall'!$D$2:D104)*30*Assumptions!$C$22, 2)</f>
        <v/>
      </c>
      <c r="D104" s="12">
        <f>IF(C104&gt;0, B104/C104, 999.0)</f>
        <v/>
      </c>
      <c r="E104" s="17">
        <f>IF(D104&gt;=Assumptions!$C$23, "COMPLIANT", IF(D104&gt;=Assumptions!$C$24, "WARNING", "BREACH"))</f>
        <v/>
      </c>
      <c r="F104" s="25">
        <f>Data_Feed_Daily!B104</f>
        <v/>
      </c>
      <c r="G104" s="25">
        <f>ROUND(F104*Assumptions!$C$20*Assumptions!$C$21, 2)</f>
        <v/>
      </c>
      <c r="H104" s="25">
        <f>SUM($G$2:G104)</f>
        <v/>
      </c>
    </row>
    <row r="105">
      <c r="A105" s="19">
        <f>'Daily_Cash_Waterfall'!A105</f>
        <v/>
      </c>
      <c r="B105" s="27">
        <f>'Daily_Cash_Waterfall'!O105</f>
        <v/>
      </c>
      <c r="C105" s="27">
        <f>ROUND(AVERAGE('Daily_Cash_Waterfall'!$D$2:D105)*30*Assumptions!$C$22, 2)</f>
        <v/>
      </c>
      <c r="D105" s="30">
        <f>IF(C105&gt;0, B105/C105, 999.0)</f>
        <v/>
      </c>
      <c r="E105" s="19">
        <f>IF(D105&gt;=Assumptions!$C$23, "COMPLIANT", IF(D105&gt;=Assumptions!$C$24, "WARNING", "BREACH"))</f>
        <v/>
      </c>
      <c r="F105" s="27">
        <f>Data_Feed_Daily!B105</f>
        <v/>
      </c>
      <c r="G105" s="27">
        <f>ROUND(F105*Assumptions!$C$20*Assumptions!$C$21, 2)</f>
        <v/>
      </c>
      <c r="H105" s="27">
        <f>SUM($G$2:G105)</f>
        <v/>
      </c>
    </row>
    <row r="106">
      <c r="A106" s="17">
        <f>'Daily_Cash_Waterfall'!A106</f>
        <v/>
      </c>
      <c r="B106" s="25">
        <f>'Daily_Cash_Waterfall'!O106</f>
        <v/>
      </c>
      <c r="C106" s="25">
        <f>ROUND(AVERAGE('Daily_Cash_Waterfall'!$D$2:D106)*30*Assumptions!$C$22, 2)</f>
        <v/>
      </c>
      <c r="D106" s="12">
        <f>IF(C106&gt;0, B106/C106, 999.0)</f>
        <v/>
      </c>
      <c r="E106" s="17">
        <f>IF(D106&gt;=Assumptions!$C$23, "COMPLIANT", IF(D106&gt;=Assumptions!$C$24, "WARNING", "BREACH"))</f>
        <v/>
      </c>
      <c r="F106" s="25">
        <f>Data_Feed_Daily!B106</f>
        <v/>
      </c>
      <c r="G106" s="25">
        <f>ROUND(F106*Assumptions!$C$20*Assumptions!$C$21, 2)</f>
        <v/>
      </c>
      <c r="H106" s="25">
        <f>SUM($G$2:G106)</f>
        <v/>
      </c>
    </row>
    <row r="107">
      <c r="A107" s="19">
        <f>'Daily_Cash_Waterfall'!A107</f>
        <v/>
      </c>
      <c r="B107" s="27">
        <f>'Daily_Cash_Waterfall'!O107</f>
        <v/>
      </c>
      <c r="C107" s="27">
        <f>ROUND(AVERAGE('Daily_Cash_Waterfall'!$D$2:D107)*30*Assumptions!$C$22, 2)</f>
        <v/>
      </c>
      <c r="D107" s="30">
        <f>IF(C107&gt;0, B107/C107, 999.0)</f>
        <v/>
      </c>
      <c r="E107" s="19">
        <f>IF(D107&gt;=Assumptions!$C$23, "COMPLIANT", IF(D107&gt;=Assumptions!$C$24, "WARNING", "BREACH"))</f>
        <v/>
      </c>
      <c r="F107" s="27">
        <f>Data_Feed_Daily!B107</f>
        <v/>
      </c>
      <c r="G107" s="27">
        <f>ROUND(F107*Assumptions!$C$20*Assumptions!$C$21, 2)</f>
        <v/>
      </c>
      <c r="H107" s="27">
        <f>SUM($G$2:G107)</f>
        <v/>
      </c>
    </row>
    <row r="108">
      <c r="A108" s="17">
        <f>'Daily_Cash_Waterfall'!A108</f>
        <v/>
      </c>
      <c r="B108" s="25">
        <f>'Daily_Cash_Waterfall'!O108</f>
        <v/>
      </c>
      <c r="C108" s="25">
        <f>ROUND(AVERAGE('Daily_Cash_Waterfall'!$D$2:D108)*30*Assumptions!$C$22, 2)</f>
        <v/>
      </c>
      <c r="D108" s="12">
        <f>IF(C108&gt;0, B108/C108, 999.0)</f>
        <v/>
      </c>
      <c r="E108" s="17">
        <f>IF(D108&gt;=Assumptions!$C$23, "COMPLIANT", IF(D108&gt;=Assumptions!$C$24, "WARNING", "BREACH"))</f>
        <v/>
      </c>
      <c r="F108" s="25">
        <f>Data_Feed_Daily!B108</f>
        <v/>
      </c>
      <c r="G108" s="25">
        <f>ROUND(F108*Assumptions!$C$20*Assumptions!$C$21, 2)</f>
        <v/>
      </c>
      <c r="H108" s="25">
        <f>SUM($G$2:G108)</f>
        <v/>
      </c>
    </row>
    <row r="109">
      <c r="A109" s="19">
        <f>'Daily_Cash_Waterfall'!A109</f>
        <v/>
      </c>
      <c r="B109" s="27">
        <f>'Daily_Cash_Waterfall'!O109</f>
        <v/>
      </c>
      <c r="C109" s="27">
        <f>ROUND(AVERAGE('Daily_Cash_Waterfall'!$D$2:D109)*30*Assumptions!$C$22, 2)</f>
        <v/>
      </c>
      <c r="D109" s="30">
        <f>IF(C109&gt;0, B109/C109, 999.0)</f>
        <v/>
      </c>
      <c r="E109" s="19">
        <f>IF(D109&gt;=Assumptions!$C$23, "COMPLIANT", IF(D109&gt;=Assumptions!$C$24, "WARNING", "BREACH"))</f>
        <v/>
      </c>
      <c r="F109" s="27">
        <f>Data_Feed_Daily!B109</f>
        <v/>
      </c>
      <c r="G109" s="27">
        <f>ROUND(F109*Assumptions!$C$20*Assumptions!$C$21, 2)</f>
        <v/>
      </c>
      <c r="H109" s="27">
        <f>SUM($G$2:G109)</f>
        <v/>
      </c>
    </row>
    <row r="110">
      <c r="A110" s="17">
        <f>'Daily_Cash_Waterfall'!A110</f>
        <v/>
      </c>
      <c r="B110" s="25">
        <f>'Daily_Cash_Waterfall'!O110</f>
        <v/>
      </c>
      <c r="C110" s="25">
        <f>ROUND(AVERAGE('Daily_Cash_Waterfall'!$D$2:D110)*30*Assumptions!$C$22, 2)</f>
        <v/>
      </c>
      <c r="D110" s="12">
        <f>IF(C110&gt;0, B110/C110, 999.0)</f>
        <v/>
      </c>
      <c r="E110" s="17">
        <f>IF(D110&gt;=Assumptions!$C$23, "COMPLIANT", IF(D110&gt;=Assumptions!$C$24, "WARNING", "BREACH"))</f>
        <v/>
      </c>
      <c r="F110" s="25">
        <f>Data_Feed_Daily!B110</f>
        <v/>
      </c>
      <c r="G110" s="25">
        <f>ROUND(F110*Assumptions!$C$20*Assumptions!$C$21, 2)</f>
        <v/>
      </c>
      <c r="H110" s="25">
        <f>SUM($G$2:G110)</f>
        <v/>
      </c>
    </row>
    <row r="111">
      <c r="A111" s="19">
        <f>'Daily_Cash_Waterfall'!A111</f>
        <v/>
      </c>
      <c r="B111" s="27">
        <f>'Daily_Cash_Waterfall'!O111</f>
        <v/>
      </c>
      <c r="C111" s="27">
        <f>ROUND(AVERAGE('Daily_Cash_Waterfall'!$D$2:D111)*30*Assumptions!$C$22, 2)</f>
        <v/>
      </c>
      <c r="D111" s="30">
        <f>IF(C111&gt;0, B111/C111, 999.0)</f>
        <v/>
      </c>
      <c r="E111" s="19">
        <f>IF(D111&gt;=Assumptions!$C$23, "COMPLIANT", IF(D111&gt;=Assumptions!$C$24, "WARNING", "BREACH"))</f>
        <v/>
      </c>
      <c r="F111" s="27">
        <f>Data_Feed_Daily!B111</f>
        <v/>
      </c>
      <c r="G111" s="27">
        <f>ROUND(F111*Assumptions!$C$20*Assumptions!$C$21, 2)</f>
        <v/>
      </c>
      <c r="H111" s="27">
        <f>SUM($G$2:G111)</f>
        <v/>
      </c>
    </row>
    <row r="112">
      <c r="A112" s="17">
        <f>'Daily_Cash_Waterfall'!A112</f>
        <v/>
      </c>
      <c r="B112" s="25">
        <f>'Daily_Cash_Waterfall'!O112</f>
        <v/>
      </c>
      <c r="C112" s="25">
        <f>ROUND(AVERAGE('Daily_Cash_Waterfall'!$D$2:D112)*30*Assumptions!$C$22, 2)</f>
        <v/>
      </c>
      <c r="D112" s="12">
        <f>IF(C112&gt;0, B112/C112, 999.0)</f>
        <v/>
      </c>
      <c r="E112" s="17">
        <f>IF(D112&gt;=Assumptions!$C$23, "COMPLIANT", IF(D112&gt;=Assumptions!$C$24, "WARNING", "BREACH"))</f>
        <v/>
      </c>
      <c r="F112" s="25">
        <f>Data_Feed_Daily!B112</f>
        <v/>
      </c>
      <c r="G112" s="25">
        <f>ROUND(F112*Assumptions!$C$20*Assumptions!$C$21, 2)</f>
        <v/>
      </c>
      <c r="H112" s="25">
        <f>SUM($G$2:G112)</f>
        <v/>
      </c>
    </row>
    <row r="113">
      <c r="A113" s="19">
        <f>'Daily_Cash_Waterfall'!A113</f>
        <v/>
      </c>
      <c r="B113" s="27">
        <f>'Daily_Cash_Waterfall'!O113</f>
        <v/>
      </c>
      <c r="C113" s="27">
        <f>ROUND(AVERAGE('Daily_Cash_Waterfall'!$D$2:D113)*30*Assumptions!$C$22, 2)</f>
        <v/>
      </c>
      <c r="D113" s="30">
        <f>IF(C113&gt;0, B113/C113, 999.0)</f>
        <v/>
      </c>
      <c r="E113" s="19">
        <f>IF(D113&gt;=Assumptions!$C$23, "COMPLIANT", IF(D113&gt;=Assumptions!$C$24, "WARNING", "BREACH"))</f>
        <v/>
      </c>
      <c r="F113" s="27">
        <f>Data_Feed_Daily!B113</f>
        <v/>
      </c>
      <c r="G113" s="27">
        <f>ROUND(F113*Assumptions!$C$20*Assumptions!$C$21, 2)</f>
        <v/>
      </c>
      <c r="H113" s="27">
        <f>SUM($G$2:G113)</f>
        <v/>
      </c>
    </row>
    <row r="114">
      <c r="A114" s="17">
        <f>'Daily_Cash_Waterfall'!A114</f>
        <v/>
      </c>
      <c r="B114" s="25">
        <f>'Daily_Cash_Waterfall'!O114</f>
        <v/>
      </c>
      <c r="C114" s="25">
        <f>ROUND(AVERAGE('Daily_Cash_Waterfall'!$D$2:D114)*30*Assumptions!$C$22, 2)</f>
        <v/>
      </c>
      <c r="D114" s="12">
        <f>IF(C114&gt;0, B114/C114, 999.0)</f>
        <v/>
      </c>
      <c r="E114" s="17">
        <f>IF(D114&gt;=Assumptions!$C$23, "COMPLIANT", IF(D114&gt;=Assumptions!$C$24, "WARNING", "BREACH"))</f>
        <v/>
      </c>
      <c r="F114" s="25">
        <f>Data_Feed_Daily!B114</f>
        <v/>
      </c>
      <c r="G114" s="25">
        <f>ROUND(F114*Assumptions!$C$20*Assumptions!$C$21, 2)</f>
        <v/>
      </c>
      <c r="H114" s="25">
        <f>SUM($G$2:G114)</f>
        <v/>
      </c>
    </row>
    <row r="115">
      <c r="A115" s="19">
        <f>'Daily_Cash_Waterfall'!A115</f>
        <v/>
      </c>
      <c r="B115" s="27">
        <f>'Daily_Cash_Waterfall'!O115</f>
        <v/>
      </c>
      <c r="C115" s="27">
        <f>ROUND(AVERAGE('Daily_Cash_Waterfall'!$D$2:D115)*30*Assumptions!$C$22, 2)</f>
        <v/>
      </c>
      <c r="D115" s="30">
        <f>IF(C115&gt;0, B115/C115, 999.0)</f>
        <v/>
      </c>
      <c r="E115" s="19">
        <f>IF(D115&gt;=Assumptions!$C$23, "COMPLIANT", IF(D115&gt;=Assumptions!$C$24, "WARNING", "BREACH"))</f>
        <v/>
      </c>
      <c r="F115" s="27">
        <f>Data_Feed_Daily!B115</f>
        <v/>
      </c>
      <c r="G115" s="27">
        <f>ROUND(F115*Assumptions!$C$20*Assumptions!$C$21, 2)</f>
        <v/>
      </c>
      <c r="H115" s="27">
        <f>SUM($G$2:G115)</f>
        <v/>
      </c>
    </row>
    <row r="116">
      <c r="A116" s="17">
        <f>'Daily_Cash_Waterfall'!A116</f>
        <v/>
      </c>
      <c r="B116" s="25">
        <f>'Daily_Cash_Waterfall'!O116</f>
        <v/>
      </c>
      <c r="C116" s="25">
        <f>ROUND(AVERAGE('Daily_Cash_Waterfall'!$D$2:D116)*30*Assumptions!$C$22, 2)</f>
        <v/>
      </c>
      <c r="D116" s="12">
        <f>IF(C116&gt;0, B116/C116, 999.0)</f>
        <v/>
      </c>
      <c r="E116" s="17">
        <f>IF(D116&gt;=Assumptions!$C$23, "COMPLIANT", IF(D116&gt;=Assumptions!$C$24, "WARNING", "BREACH"))</f>
        <v/>
      </c>
      <c r="F116" s="25">
        <f>Data_Feed_Daily!B116</f>
        <v/>
      </c>
      <c r="G116" s="25">
        <f>ROUND(F116*Assumptions!$C$20*Assumptions!$C$21, 2)</f>
        <v/>
      </c>
      <c r="H116" s="25">
        <f>SUM($G$2:G116)</f>
        <v/>
      </c>
    </row>
    <row r="117">
      <c r="A117" s="19">
        <f>'Daily_Cash_Waterfall'!A117</f>
        <v/>
      </c>
      <c r="B117" s="27">
        <f>'Daily_Cash_Waterfall'!O117</f>
        <v/>
      </c>
      <c r="C117" s="27">
        <f>ROUND(AVERAGE('Daily_Cash_Waterfall'!$D$2:D117)*30*Assumptions!$C$22, 2)</f>
        <v/>
      </c>
      <c r="D117" s="30">
        <f>IF(C117&gt;0, B117/C117, 999.0)</f>
        <v/>
      </c>
      <c r="E117" s="19">
        <f>IF(D117&gt;=Assumptions!$C$23, "COMPLIANT", IF(D117&gt;=Assumptions!$C$24, "WARNING", "BREACH"))</f>
        <v/>
      </c>
      <c r="F117" s="27">
        <f>Data_Feed_Daily!B117</f>
        <v/>
      </c>
      <c r="G117" s="27">
        <f>ROUND(F117*Assumptions!$C$20*Assumptions!$C$21, 2)</f>
        <v/>
      </c>
      <c r="H117" s="27">
        <f>SUM($G$2:G117)</f>
        <v/>
      </c>
    </row>
    <row r="118">
      <c r="A118" s="17">
        <f>'Daily_Cash_Waterfall'!A118</f>
        <v/>
      </c>
      <c r="B118" s="25">
        <f>'Daily_Cash_Waterfall'!O118</f>
        <v/>
      </c>
      <c r="C118" s="25">
        <f>ROUND(AVERAGE('Daily_Cash_Waterfall'!$D$2:D118)*30*Assumptions!$C$22, 2)</f>
        <v/>
      </c>
      <c r="D118" s="12">
        <f>IF(C118&gt;0, B118/C118, 999.0)</f>
        <v/>
      </c>
      <c r="E118" s="17">
        <f>IF(D118&gt;=Assumptions!$C$23, "COMPLIANT", IF(D118&gt;=Assumptions!$C$24, "WARNING", "BREACH"))</f>
        <v/>
      </c>
      <c r="F118" s="25">
        <f>Data_Feed_Daily!B118</f>
        <v/>
      </c>
      <c r="G118" s="25">
        <f>ROUND(F118*Assumptions!$C$20*Assumptions!$C$21, 2)</f>
        <v/>
      </c>
      <c r="H118" s="25">
        <f>SUM($G$2:G118)</f>
        <v/>
      </c>
    </row>
    <row r="119">
      <c r="A119" s="19">
        <f>'Daily_Cash_Waterfall'!A119</f>
        <v/>
      </c>
      <c r="B119" s="27">
        <f>'Daily_Cash_Waterfall'!O119</f>
        <v/>
      </c>
      <c r="C119" s="27">
        <f>ROUND(AVERAGE('Daily_Cash_Waterfall'!$D$2:D119)*30*Assumptions!$C$22, 2)</f>
        <v/>
      </c>
      <c r="D119" s="30">
        <f>IF(C119&gt;0, B119/C119, 999.0)</f>
        <v/>
      </c>
      <c r="E119" s="19">
        <f>IF(D119&gt;=Assumptions!$C$23, "COMPLIANT", IF(D119&gt;=Assumptions!$C$24, "WARNING", "BREACH"))</f>
        <v/>
      </c>
      <c r="F119" s="27">
        <f>Data_Feed_Daily!B119</f>
        <v/>
      </c>
      <c r="G119" s="27">
        <f>ROUND(F119*Assumptions!$C$20*Assumptions!$C$21, 2)</f>
        <v/>
      </c>
      <c r="H119" s="27">
        <f>SUM($G$2:G119)</f>
        <v/>
      </c>
    </row>
    <row r="120">
      <c r="A120" s="17">
        <f>'Daily_Cash_Waterfall'!A120</f>
        <v/>
      </c>
      <c r="B120" s="25">
        <f>'Daily_Cash_Waterfall'!O120</f>
        <v/>
      </c>
      <c r="C120" s="25">
        <f>ROUND(AVERAGE('Daily_Cash_Waterfall'!$D$2:D120)*30*Assumptions!$C$22, 2)</f>
        <v/>
      </c>
      <c r="D120" s="12">
        <f>IF(C120&gt;0, B120/C120, 999.0)</f>
        <v/>
      </c>
      <c r="E120" s="17">
        <f>IF(D120&gt;=Assumptions!$C$23, "COMPLIANT", IF(D120&gt;=Assumptions!$C$24, "WARNING", "BREACH"))</f>
        <v/>
      </c>
      <c r="F120" s="25">
        <f>Data_Feed_Daily!B120</f>
        <v/>
      </c>
      <c r="G120" s="25">
        <f>ROUND(F120*Assumptions!$C$20*Assumptions!$C$21, 2)</f>
        <v/>
      </c>
      <c r="H120" s="25">
        <f>SUM($G$2:G120)</f>
        <v/>
      </c>
    </row>
    <row r="121">
      <c r="A121" s="19">
        <f>'Daily_Cash_Waterfall'!A121</f>
        <v/>
      </c>
      <c r="B121" s="27">
        <f>'Daily_Cash_Waterfall'!O121</f>
        <v/>
      </c>
      <c r="C121" s="27">
        <f>ROUND(AVERAGE('Daily_Cash_Waterfall'!$D$2:D121)*30*Assumptions!$C$22, 2)</f>
        <v/>
      </c>
      <c r="D121" s="30">
        <f>IF(C121&gt;0, B121/C121, 999.0)</f>
        <v/>
      </c>
      <c r="E121" s="19">
        <f>IF(D121&gt;=Assumptions!$C$23, "COMPLIANT", IF(D121&gt;=Assumptions!$C$24, "WARNING", "BREACH"))</f>
        <v/>
      </c>
      <c r="F121" s="27">
        <f>Data_Feed_Daily!B121</f>
        <v/>
      </c>
      <c r="G121" s="27">
        <f>ROUND(F121*Assumptions!$C$20*Assumptions!$C$21, 2)</f>
        <v/>
      </c>
      <c r="H121" s="27">
        <f>SUM($G$2:G121)</f>
        <v/>
      </c>
    </row>
    <row r="122">
      <c r="A122" s="17">
        <f>'Daily_Cash_Waterfall'!A122</f>
        <v/>
      </c>
      <c r="B122" s="25">
        <f>'Daily_Cash_Waterfall'!O122</f>
        <v/>
      </c>
      <c r="C122" s="25">
        <f>ROUND(AVERAGE('Daily_Cash_Waterfall'!$D$2:D122)*30*Assumptions!$C$22, 2)</f>
        <v/>
      </c>
      <c r="D122" s="12">
        <f>IF(C122&gt;0, B122/C122, 999.0)</f>
        <v/>
      </c>
      <c r="E122" s="17">
        <f>IF(D122&gt;=Assumptions!$C$23, "COMPLIANT", IF(D122&gt;=Assumptions!$C$24, "WARNING", "BREACH"))</f>
        <v/>
      </c>
      <c r="F122" s="25">
        <f>Data_Feed_Daily!B122</f>
        <v/>
      </c>
      <c r="G122" s="25">
        <f>ROUND(F122*Assumptions!$C$20*Assumptions!$C$21, 2)</f>
        <v/>
      </c>
      <c r="H122" s="25">
        <f>SUM($G$2:G122)</f>
        <v/>
      </c>
    </row>
    <row r="123">
      <c r="A123" s="19">
        <f>'Daily_Cash_Waterfall'!A123</f>
        <v/>
      </c>
      <c r="B123" s="27">
        <f>'Daily_Cash_Waterfall'!O123</f>
        <v/>
      </c>
      <c r="C123" s="27">
        <f>ROUND(AVERAGE('Daily_Cash_Waterfall'!$D$2:D123)*30*Assumptions!$C$22, 2)</f>
        <v/>
      </c>
      <c r="D123" s="30">
        <f>IF(C123&gt;0, B123/C123, 999.0)</f>
        <v/>
      </c>
      <c r="E123" s="19">
        <f>IF(D123&gt;=Assumptions!$C$23, "COMPLIANT", IF(D123&gt;=Assumptions!$C$24, "WARNING", "BREACH"))</f>
        <v/>
      </c>
      <c r="F123" s="27">
        <f>Data_Feed_Daily!B123</f>
        <v/>
      </c>
      <c r="G123" s="27">
        <f>ROUND(F123*Assumptions!$C$20*Assumptions!$C$21, 2)</f>
        <v/>
      </c>
      <c r="H123" s="27">
        <f>SUM($G$2:G123)</f>
        <v/>
      </c>
    </row>
    <row r="124">
      <c r="A124" s="17">
        <f>'Daily_Cash_Waterfall'!A124</f>
        <v/>
      </c>
      <c r="B124" s="25">
        <f>'Daily_Cash_Waterfall'!O124</f>
        <v/>
      </c>
      <c r="C124" s="25">
        <f>ROUND(AVERAGE('Daily_Cash_Waterfall'!$D$2:D124)*30*Assumptions!$C$22, 2)</f>
        <v/>
      </c>
      <c r="D124" s="12">
        <f>IF(C124&gt;0, B124/C124, 999.0)</f>
        <v/>
      </c>
      <c r="E124" s="17">
        <f>IF(D124&gt;=Assumptions!$C$23, "COMPLIANT", IF(D124&gt;=Assumptions!$C$24, "WARNING", "BREACH"))</f>
        <v/>
      </c>
      <c r="F124" s="25">
        <f>Data_Feed_Daily!B124</f>
        <v/>
      </c>
      <c r="G124" s="25">
        <f>ROUND(F124*Assumptions!$C$20*Assumptions!$C$21, 2)</f>
        <v/>
      </c>
      <c r="H124" s="25">
        <f>SUM($G$2:G124)</f>
        <v/>
      </c>
    </row>
    <row r="125">
      <c r="A125" s="19">
        <f>'Daily_Cash_Waterfall'!A125</f>
        <v/>
      </c>
      <c r="B125" s="27">
        <f>'Daily_Cash_Waterfall'!O125</f>
        <v/>
      </c>
      <c r="C125" s="27">
        <f>ROUND(AVERAGE('Daily_Cash_Waterfall'!$D$2:D125)*30*Assumptions!$C$22, 2)</f>
        <v/>
      </c>
      <c r="D125" s="30">
        <f>IF(C125&gt;0, B125/C125, 999.0)</f>
        <v/>
      </c>
      <c r="E125" s="19">
        <f>IF(D125&gt;=Assumptions!$C$23, "COMPLIANT", IF(D125&gt;=Assumptions!$C$24, "WARNING", "BREACH"))</f>
        <v/>
      </c>
      <c r="F125" s="27">
        <f>Data_Feed_Daily!B125</f>
        <v/>
      </c>
      <c r="G125" s="27">
        <f>ROUND(F125*Assumptions!$C$20*Assumptions!$C$21, 2)</f>
        <v/>
      </c>
      <c r="H125" s="27">
        <f>SUM($G$2:G125)</f>
        <v/>
      </c>
    </row>
    <row r="126">
      <c r="A126" s="17">
        <f>'Daily_Cash_Waterfall'!A126</f>
        <v/>
      </c>
      <c r="B126" s="25">
        <f>'Daily_Cash_Waterfall'!O126</f>
        <v/>
      </c>
      <c r="C126" s="25">
        <f>ROUND(AVERAGE('Daily_Cash_Waterfall'!$D$2:D126)*30*Assumptions!$C$22, 2)</f>
        <v/>
      </c>
      <c r="D126" s="12">
        <f>IF(C126&gt;0, B126/C126, 999.0)</f>
        <v/>
      </c>
      <c r="E126" s="17">
        <f>IF(D126&gt;=Assumptions!$C$23, "COMPLIANT", IF(D126&gt;=Assumptions!$C$24, "WARNING", "BREACH"))</f>
        <v/>
      </c>
      <c r="F126" s="25">
        <f>Data_Feed_Daily!B126</f>
        <v/>
      </c>
      <c r="G126" s="25">
        <f>ROUND(F126*Assumptions!$C$20*Assumptions!$C$21, 2)</f>
        <v/>
      </c>
      <c r="H126" s="25">
        <f>SUM($G$2:G126)</f>
        <v/>
      </c>
    </row>
    <row r="127">
      <c r="A127" s="19">
        <f>'Daily_Cash_Waterfall'!A127</f>
        <v/>
      </c>
      <c r="B127" s="27">
        <f>'Daily_Cash_Waterfall'!O127</f>
        <v/>
      </c>
      <c r="C127" s="27">
        <f>ROUND(AVERAGE('Daily_Cash_Waterfall'!$D$2:D127)*30*Assumptions!$C$22, 2)</f>
        <v/>
      </c>
      <c r="D127" s="30">
        <f>IF(C127&gt;0, B127/C127, 999.0)</f>
        <v/>
      </c>
      <c r="E127" s="19">
        <f>IF(D127&gt;=Assumptions!$C$23, "COMPLIANT", IF(D127&gt;=Assumptions!$C$24, "WARNING", "BREACH"))</f>
        <v/>
      </c>
      <c r="F127" s="27">
        <f>Data_Feed_Daily!B127</f>
        <v/>
      </c>
      <c r="G127" s="27">
        <f>ROUND(F127*Assumptions!$C$20*Assumptions!$C$21, 2)</f>
        <v/>
      </c>
      <c r="H127" s="27">
        <f>SUM($G$2:G127)</f>
        <v/>
      </c>
    </row>
    <row r="128">
      <c r="A128" s="17">
        <f>'Daily_Cash_Waterfall'!A128</f>
        <v/>
      </c>
      <c r="B128" s="25">
        <f>'Daily_Cash_Waterfall'!O128</f>
        <v/>
      </c>
      <c r="C128" s="25">
        <f>ROUND(AVERAGE('Daily_Cash_Waterfall'!$D$2:D128)*30*Assumptions!$C$22, 2)</f>
        <v/>
      </c>
      <c r="D128" s="12">
        <f>IF(C128&gt;0, B128/C128, 999.0)</f>
        <v/>
      </c>
      <c r="E128" s="17">
        <f>IF(D128&gt;=Assumptions!$C$23, "COMPLIANT", IF(D128&gt;=Assumptions!$C$24, "WARNING", "BREACH"))</f>
        <v/>
      </c>
      <c r="F128" s="25">
        <f>Data_Feed_Daily!B128</f>
        <v/>
      </c>
      <c r="G128" s="25">
        <f>ROUND(F128*Assumptions!$C$20*Assumptions!$C$21, 2)</f>
        <v/>
      </c>
      <c r="H128" s="25">
        <f>SUM($G$2:G128)</f>
        <v/>
      </c>
    </row>
    <row r="129">
      <c r="A129" s="19">
        <f>'Daily_Cash_Waterfall'!A129</f>
        <v/>
      </c>
      <c r="B129" s="27">
        <f>'Daily_Cash_Waterfall'!O129</f>
        <v/>
      </c>
      <c r="C129" s="27">
        <f>ROUND(AVERAGE('Daily_Cash_Waterfall'!$D$2:D129)*30*Assumptions!$C$22, 2)</f>
        <v/>
      </c>
      <c r="D129" s="30">
        <f>IF(C129&gt;0, B129/C129, 999.0)</f>
        <v/>
      </c>
      <c r="E129" s="19">
        <f>IF(D129&gt;=Assumptions!$C$23, "COMPLIANT", IF(D129&gt;=Assumptions!$C$24, "WARNING", "BREACH"))</f>
        <v/>
      </c>
      <c r="F129" s="27">
        <f>Data_Feed_Daily!B129</f>
        <v/>
      </c>
      <c r="G129" s="27">
        <f>ROUND(F129*Assumptions!$C$20*Assumptions!$C$21, 2)</f>
        <v/>
      </c>
      <c r="H129" s="27">
        <f>SUM($G$2:G129)</f>
        <v/>
      </c>
    </row>
    <row r="130">
      <c r="A130" s="17">
        <f>'Daily_Cash_Waterfall'!A130</f>
        <v/>
      </c>
      <c r="B130" s="25">
        <f>'Daily_Cash_Waterfall'!O130</f>
        <v/>
      </c>
      <c r="C130" s="25">
        <f>ROUND(AVERAGE('Daily_Cash_Waterfall'!$D$2:D130)*30*Assumptions!$C$22, 2)</f>
        <v/>
      </c>
      <c r="D130" s="12">
        <f>IF(C130&gt;0, B130/C130, 999.0)</f>
        <v/>
      </c>
      <c r="E130" s="17">
        <f>IF(D130&gt;=Assumptions!$C$23, "COMPLIANT", IF(D130&gt;=Assumptions!$C$24, "WARNING", "BREACH"))</f>
        <v/>
      </c>
      <c r="F130" s="25">
        <f>Data_Feed_Daily!B130</f>
        <v/>
      </c>
      <c r="G130" s="25">
        <f>ROUND(F130*Assumptions!$C$20*Assumptions!$C$21, 2)</f>
        <v/>
      </c>
      <c r="H130" s="25">
        <f>SUM($G$2:G130)</f>
        <v/>
      </c>
    </row>
    <row r="131">
      <c r="A131" s="19">
        <f>'Daily_Cash_Waterfall'!A131</f>
        <v/>
      </c>
      <c r="B131" s="27">
        <f>'Daily_Cash_Waterfall'!O131</f>
        <v/>
      </c>
      <c r="C131" s="27">
        <f>ROUND(AVERAGE('Daily_Cash_Waterfall'!$D$2:D131)*30*Assumptions!$C$22, 2)</f>
        <v/>
      </c>
      <c r="D131" s="30">
        <f>IF(C131&gt;0, B131/C131, 999.0)</f>
        <v/>
      </c>
      <c r="E131" s="19">
        <f>IF(D131&gt;=Assumptions!$C$23, "COMPLIANT", IF(D131&gt;=Assumptions!$C$24, "WARNING", "BREACH"))</f>
        <v/>
      </c>
      <c r="F131" s="27">
        <f>Data_Feed_Daily!B131</f>
        <v/>
      </c>
      <c r="G131" s="27">
        <f>ROUND(F131*Assumptions!$C$20*Assumptions!$C$21, 2)</f>
        <v/>
      </c>
      <c r="H131" s="27">
        <f>SUM($G$2:G131)</f>
        <v/>
      </c>
    </row>
    <row r="132">
      <c r="A132" s="17">
        <f>'Daily_Cash_Waterfall'!A132</f>
        <v/>
      </c>
      <c r="B132" s="25">
        <f>'Daily_Cash_Waterfall'!O132</f>
        <v/>
      </c>
      <c r="C132" s="25">
        <f>ROUND(AVERAGE('Daily_Cash_Waterfall'!$D$2:D132)*30*Assumptions!$C$22, 2)</f>
        <v/>
      </c>
      <c r="D132" s="12">
        <f>IF(C132&gt;0, B132/C132, 999.0)</f>
        <v/>
      </c>
      <c r="E132" s="17">
        <f>IF(D132&gt;=Assumptions!$C$23, "COMPLIANT", IF(D132&gt;=Assumptions!$C$24, "WARNING", "BREACH"))</f>
        <v/>
      </c>
      <c r="F132" s="25">
        <f>Data_Feed_Daily!B132</f>
        <v/>
      </c>
      <c r="G132" s="25">
        <f>ROUND(F132*Assumptions!$C$20*Assumptions!$C$21, 2)</f>
        <v/>
      </c>
      <c r="H132" s="25">
        <f>SUM($G$2:G132)</f>
        <v/>
      </c>
    </row>
    <row r="133">
      <c r="A133" s="19">
        <f>'Daily_Cash_Waterfall'!A133</f>
        <v/>
      </c>
      <c r="B133" s="27">
        <f>'Daily_Cash_Waterfall'!O133</f>
        <v/>
      </c>
      <c r="C133" s="27">
        <f>ROUND(AVERAGE('Daily_Cash_Waterfall'!$D$2:D133)*30*Assumptions!$C$22, 2)</f>
        <v/>
      </c>
      <c r="D133" s="30">
        <f>IF(C133&gt;0, B133/C133, 999.0)</f>
        <v/>
      </c>
      <c r="E133" s="19">
        <f>IF(D133&gt;=Assumptions!$C$23, "COMPLIANT", IF(D133&gt;=Assumptions!$C$24, "WARNING", "BREACH"))</f>
        <v/>
      </c>
      <c r="F133" s="27">
        <f>Data_Feed_Daily!B133</f>
        <v/>
      </c>
      <c r="G133" s="27">
        <f>ROUND(F133*Assumptions!$C$20*Assumptions!$C$21, 2)</f>
        <v/>
      </c>
      <c r="H133" s="27">
        <f>SUM($G$2:G133)</f>
        <v/>
      </c>
    </row>
    <row r="134">
      <c r="A134" s="17">
        <f>'Daily_Cash_Waterfall'!A134</f>
        <v/>
      </c>
      <c r="B134" s="25">
        <f>'Daily_Cash_Waterfall'!O134</f>
        <v/>
      </c>
      <c r="C134" s="25">
        <f>ROUND(AVERAGE('Daily_Cash_Waterfall'!$D$2:D134)*30*Assumptions!$C$22, 2)</f>
        <v/>
      </c>
      <c r="D134" s="12">
        <f>IF(C134&gt;0, B134/C134, 999.0)</f>
        <v/>
      </c>
      <c r="E134" s="17">
        <f>IF(D134&gt;=Assumptions!$C$23, "COMPLIANT", IF(D134&gt;=Assumptions!$C$24, "WARNING", "BREACH"))</f>
        <v/>
      </c>
      <c r="F134" s="25">
        <f>Data_Feed_Daily!B134</f>
        <v/>
      </c>
      <c r="G134" s="25">
        <f>ROUND(F134*Assumptions!$C$20*Assumptions!$C$21, 2)</f>
        <v/>
      </c>
      <c r="H134" s="25">
        <f>SUM($G$2:G134)</f>
        <v/>
      </c>
    </row>
    <row r="135">
      <c r="A135" s="19">
        <f>'Daily_Cash_Waterfall'!A135</f>
        <v/>
      </c>
      <c r="B135" s="27">
        <f>'Daily_Cash_Waterfall'!O135</f>
        <v/>
      </c>
      <c r="C135" s="27">
        <f>ROUND(AVERAGE('Daily_Cash_Waterfall'!$D$2:D135)*30*Assumptions!$C$22, 2)</f>
        <v/>
      </c>
      <c r="D135" s="30">
        <f>IF(C135&gt;0, B135/C135, 999.0)</f>
        <v/>
      </c>
      <c r="E135" s="19">
        <f>IF(D135&gt;=Assumptions!$C$23, "COMPLIANT", IF(D135&gt;=Assumptions!$C$24, "WARNING", "BREACH"))</f>
        <v/>
      </c>
      <c r="F135" s="27">
        <f>Data_Feed_Daily!B135</f>
        <v/>
      </c>
      <c r="G135" s="27">
        <f>ROUND(F135*Assumptions!$C$20*Assumptions!$C$21, 2)</f>
        <v/>
      </c>
      <c r="H135" s="27">
        <f>SUM($G$2:G135)</f>
        <v/>
      </c>
    </row>
    <row r="136">
      <c r="A136" s="17">
        <f>'Daily_Cash_Waterfall'!A136</f>
        <v/>
      </c>
      <c r="B136" s="25">
        <f>'Daily_Cash_Waterfall'!O136</f>
        <v/>
      </c>
      <c r="C136" s="25">
        <f>ROUND(AVERAGE('Daily_Cash_Waterfall'!$D$2:D136)*30*Assumptions!$C$22, 2)</f>
        <v/>
      </c>
      <c r="D136" s="12">
        <f>IF(C136&gt;0, B136/C136, 999.0)</f>
        <v/>
      </c>
      <c r="E136" s="17">
        <f>IF(D136&gt;=Assumptions!$C$23, "COMPLIANT", IF(D136&gt;=Assumptions!$C$24, "WARNING", "BREACH"))</f>
        <v/>
      </c>
      <c r="F136" s="25">
        <f>Data_Feed_Daily!B136</f>
        <v/>
      </c>
      <c r="G136" s="25">
        <f>ROUND(F136*Assumptions!$C$20*Assumptions!$C$21, 2)</f>
        <v/>
      </c>
      <c r="H136" s="25">
        <f>SUM($G$2:G136)</f>
        <v/>
      </c>
    </row>
    <row r="137">
      <c r="A137" s="19">
        <f>'Daily_Cash_Waterfall'!A137</f>
        <v/>
      </c>
      <c r="B137" s="27">
        <f>'Daily_Cash_Waterfall'!O137</f>
        <v/>
      </c>
      <c r="C137" s="27">
        <f>ROUND(AVERAGE('Daily_Cash_Waterfall'!$D$2:D137)*30*Assumptions!$C$22, 2)</f>
        <v/>
      </c>
      <c r="D137" s="30">
        <f>IF(C137&gt;0, B137/C137, 999.0)</f>
        <v/>
      </c>
      <c r="E137" s="19">
        <f>IF(D137&gt;=Assumptions!$C$23, "COMPLIANT", IF(D137&gt;=Assumptions!$C$24, "WARNING", "BREACH"))</f>
        <v/>
      </c>
      <c r="F137" s="27">
        <f>Data_Feed_Daily!B137</f>
        <v/>
      </c>
      <c r="G137" s="27">
        <f>ROUND(F137*Assumptions!$C$20*Assumptions!$C$21, 2)</f>
        <v/>
      </c>
      <c r="H137" s="27">
        <f>SUM($G$2:G137)</f>
        <v/>
      </c>
    </row>
    <row r="138">
      <c r="A138" s="17">
        <f>'Daily_Cash_Waterfall'!A138</f>
        <v/>
      </c>
      <c r="B138" s="25">
        <f>'Daily_Cash_Waterfall'!O138</f>
        <v/>
      </c>
      <c r="C138" s="25">
        <f>ROUND(AVERAGE('Daily_Cash_Waterfall'!$D$2:D138)*30*Assumptions!$C$22, 2)</f>
        <v/>
      </c>
      <c r="D138" s="12">
        <f>IF(C138&gt;0, B138/C138, 999.0)</f>
        <v/>
      </c>
      <c r="E138" s="17">
        <f>IF(D138&gt;=Assumptions!$C$23, "COMPLIANT", IF(D138&gt;=Assumptions!$C$24, "WARNING", "BREACH"))</f>
        <v/>
      </c>
      <c r="F138" s="25">
        <f>Data_Feed_Daily!B138</f>
        <v/>
      </c>
      <c r="G138" s="25">
        <f>ROUND(F138*Assumptions!$C$20*Assumptions!$C$21, 2)</f>
        <v/>
      </c>
      <c r="H138" s="25">
        <f>SUM($G$2:G138)</f>
        <v/>
      </c>
    </row>
    <row r="139">
      <c r="A139" s="19">
        <f>'Daily_Cash_Waterfall'!A139</f>
        <v/>
      </c>
      <c r="B139" s="27">
        <f>'Daily_Cash_Waterfall'!O139</f>
        <v/>
      </c>
      <c r="C139" s="27">
        <f>ROUND(AVERAGE('Daily_Cash_Waterfall'!$D$2:D139)*30*Assumptions!$C$22, 2)</f>
        <v/>
      </c>
      <c r="D139" s="30">
        <f>IF(C139&gt;0, B139/C139, 999.0)</f>
        <v/>
      </c>
      <c r="E139" s="19">
        <f>IF(D139&gt;=Assumptions!$C$23, "COMPLIANT", IF(D139&gt;=Assumptions!$C$24, "WARNING", "BREACH"))</f>
        <v/>
      </c>
      <c r="F139" s="27">
        <f>Data_Feed_Daily!B139</f>
        <v/>
      </c>
      <c r="G139" s="27">
        <f>ROUND(F139*Assumptions!$C$20*Assumptions!$C$21, 2)</f>
        <v/>
      </c>
      <c r="H139" s="27">
        <f>SUM($G$2:G139)</f>
        <v/>
      </c>
    </row>
    <row r="140">
      <c r="A140" s="17">
        <f>'Daily_Cash_Waterfall'!A140</f>
        <v/>
      </c>
      <c r="B140" s="25">
        <f>'Daily_Cash_Waterfall'!O140</f>
        <v/>
      </c>
      <c r="C140" s="25">
        <f>ROUND(AVERAGE('Daily_Cash_Waterfall'!$D$2:D140)*30*Assumptions!$C$22, 2)</f>
        <v/>
      </c>
      <c r="D140" s="12">
        <f>IF(C140&gt;0, B140/C140, 999.0)</f>
        <v/>
      </c>
      <c r="E140" s="17">
        <f>IF(D140&gt;=Assumptions!$C$23, "COMPLIANT", IF(D140&gt;=Assumptions!$C$24, "WARNING", "BREACH"))</f>
        <v/>
      </c>
      <c r="F140" s="25">
        <f>Data_Feed_Daily!B140</f>
        <v/>
      </c>
      <c r="G140" s="25">
        <f>ROUND(F140*Assumptions!$C$20*Assumptions!$C$21, 2)</f>
        <v/>
      </c>
      <c r="H140" s="25">
        <f>SUM($G$2:G140)</f>
        <v/>
      </c>
    </row>
    <row r="141">
      <c r="A141" s="19">
        <f>'Daily_Cash_Waterfall'!A141</f>
        <v/>
      </c>
      <c r="B141" s="27">
        <f>'Daily_Cash_Waterfall'!O141</f>
        <v/>
      </c>
      <c r="C141" s="27">
        <f>ROUND(AVERAGE('Daily_Cash_Waterfall'!$D$2:D141)*30*Assumptions!$C$22, 2)</f>
        <v/>
      </c>
      <c r="D141" s="30">
        <f>IF(C141&gt;0, B141/C141, 999.0)</f>
        <v/>
      </c>
      <c r="E141" s="19">
        <f>IF(D141&gt;=Assumptions!$C$23, "COMPLIANT", IF(D141&gt;=Assumptions!$C$24, "WARNING", "BREACH"))</f>
        <v/>
      </c>
      <c r="F141" s="27">
        <f>Data_Feed_Daily!B141</f>
        <v/>
      </c>
      <c r="G141" s="27">
        <f>ROUND(F141*Assumptions!$C$20*Assumptions!$C$21, 2)</f>
        <v/>
      </c>
      <c r="H141" s="27">
        <f>SUM($G$2:G141)</f>
        <v/>
      </c>
    </row>
    <row r="142">
      <c r="A142" s="17">
        <f>'Daily_Cash_Waterfall'!A142</f>
        <v/>
      </c>
      <c r="B142" s="25">
        <f>'Daily_Cash_Waterfall'!O142</f>
        <v/>
      </c>
      <c r="C142" s="25">
        <f>ROUND(AVERAGE('Daily_Cash_Waterfall'!$D$2:D142)*30*Assumptions!$C$22, 2)</f>
        <v/>
      </c>
      <c r="D142" s="12">
        <f>IF(C142&gt;0, B142/C142, 999.0)</f>
        <v/>
      </c>
      <c r="E142" s="17">
        <f>IF(D142&gt;=Assumptions!$C$23, "COMPLIANT", IF(D142&gt;=Assumptions!$C$24, "WARNING", "BREACH"))</f>
        <v/>
      </c>
      <c r="F142" s="25">
        <f>Data_Feed_Daily!B142</f>
        <v/>
      </c>
      <c r="G142" s="25">
        <f>ROUND(F142*Assumptions!$C$20*Assumptions!$C$21, 2)</f>
        <v/>
      </c>
      <c r="H142" s="25">
        <f>SUM($G$2:G142)</f>
        <v/>
      </c>
    </row>
    <row r="143">
      <c r="A143" s="19">
        <f>'Daily_Cash_Waterfall'!A143</f>
        <v/>
      </c>
      <c r="B143" s="27">
        <f>'Daily_Cash_Waterfall'!O143</f>
        <v/>
      </c>
      <c r="C143" s="27">
        <f>ROUND(AVERAGE('Daily_Cash_Waterfall'!$D$2:D143)*30*Assumptions!$C$22, 2)</f>
        <v/>
      </c>
      <c r="D143" s="30">
        <f>IF(C143&gt;0, B143/C143, 999.0)</f>
        <v/>
      </c>
      <c r="E143" s="19">
        <f>IF(D143&gt;=Assumptions!$C$23, "COMPLIANT", IF(D143&gt;=Assumptions!$C$24, "WARNING", "BREACH"))</f>
        <v/>
      </c>
      <c r="F143" s="27">
        <f>Data_Feed_Daily!B143</f>
        <v/>
      </c>
      <c r="G143" s="27">
        <f>ROUND(F143*Assumptions!$C$20*Assumptions!$C$21, 2)</f>
        <v/>
      </c>
      <c r="H143" s="27">
        <f>SUM($G$2:G143)</f>
        <v/>
      </c>
    </row>
    <row r="144">
      <c r="A144" s="17">
        <f>'Daily_Cash_Waterfall'!A144</f>
        <v/>
      </c>
      <c r="B144" s="25">
        <f>'Daily_Cash_Waterfall'!O144</f>
        <v/>
      </c>
      <c r="C144" s="25">
        <f>ROUND(AVERAGE('Daily_Cash_Waterfall'!$D$2:D144)*30*Assumptions!$C$22, 2)</f>
        <v/>
      </c>
      <c r="D144" s="12">
        <f>IF(C144&gt;0, B144/C144, 999.0)</f>
        <v/>
      </c>
      <c r="E144" s="17">
        <f>IF(D144&gt;=Assumptions!$C$23, "COMPLIANT", IF(D144&gt;=Assumptions!$C$24, "WARNING", "BREACH"))</f>
        <v/>
      </c>
      <c r="F144" s="25">
        <f>Data_Feed_Daily!B144</f>
        <v/>
      </c>
      <c r="G144" s="25">
        <f>ROUND(F144*Assumptions!$C$20*Assumptions!$C$21, 2)</f>
        <v/>
      </c>
      <c r="H144" s="25">
        <f>SUM($G$2:G144)</f>
        <v/>
      </c>
    </row>
    <row r="145">
      <c r="A145" s="19">
        <f>'Daily_Cash_Waterfall'!A145</f>
        <v/>
      </c>
      <c r="B145" s="27">
        <f>'Daily_Cash_Waterfall'!O145</f>
        <v/>
      </c>
      <c r="C145" s="27">
        <f>ROUND(AVERAGE('Daily_Cash_Waterfall'!$D$2:D145)*30*Assumptions!$C$22, 2)</f>
        <v/>
      </c>
      <c r="D145" s="30">
        <f>IF(C145&gt;0, B145/C145, 999.0)</f>
        <v/>
      </c>
      <c r="E145" s="19">
        <f>IF(D145&gt;=Assumptions!$C$23, "COMPLIANT", IF(D145&gt;=Assumptions!$C$24, "WARNING", "BREACH"))</f>
        <v/>
      </c>
      <c r="F145" s="27">
        <f>Data_Feed_Daily!B145</f>
        <v/>
      </c>
      <c r="G145" s="27">
        <f>ROUND(F145*Assumptions!$C$20*Assumptions!$C$21, 2)</f>
        <v/>
      </c>
      <c r="H145" s="27">
        <f>SUM($G$2:G145)</f>
        <v/>
      </c>
    </row>
    <row r="146">
      <c r="A146" s="17">
        <f>'Daily_Cash_Waterfall'!A146</f>
        <v/>
      </c>
      <c r="B146" s="25">
        <f>'Daily_Cash_Waterfall'!O146</f>
        <v/>
      </c>
      <c r="C146" s="25">
        <f>ROUND(AVERAGE('Daily_Cash_Waterfall'!$D$2:D146)*30*Assumptions!$C$22, 2)</f>
        <v/>
      </c>
      <c r="D146" s="12">
        <f>IF(C146&gt;0, B146/C146, 999.0)</f>
        <v/>
      </c>
      <c r="E146" s="17">
        <f>IF(D146&gt;=Assumptions!$C$23, "COMPLIANT", IF(D146&gt;=Assumptions!$C$24, "WARNING", "BREACH"))</f>
        <v/>
      </c>
      <c r="F146" s="25">
        <f>Data_Feed_Daily!B146</f>
        <v/>
      </c>
      <c r="G146" s="25">
        <f>ROUND(F146*Assumptions!$C$20*Assumptions!$C$21, 2)</f>
        <v/>
      </c>
      <c r="H146" s="25">
        <f>SUM($G$2:G146)</f>
        <v/>
      </c>
    </row>
    <row r="147">
      <c r="A147" s="19">
        <f>'Daily_Cash_Waterfall'!A147</f>
        <v/>
      </c>
      <c r="B147" s="27">
        <f>'Daily_Cash_Waterfall'!O147</f>
        <v/>
      </c>
      <c r="C147" s="27">
        <f>ROUND(AVERAGE('Daily_Cash_Waterfall'!$D$2:D147)*30*Assumptions!$C$22, 2)</f>
        <v/>
      </c>
      <c r="D147" s="30">
        <f>IF(C147&gt;0, B147/C147, 999.0)</f>
        <v/>
      </c>
      <c r="E147" s="19">
        <f>IF(D147&gt;=Assumptions!$C$23, "COMPLIANT", IF(D147&gt;=Assumptions!$C$24, "WARNING", "BREACH"))</f>
        <v/>
      </c>
      <c r="F147" s="27">
        <f>Data_Feed_Daily!B147</f>
        <v/>
      </c>
      <c r="G147" s="27">
        <f>ROUND(F147*Assumptions!$C$20*Assumptions!$C$21, 2)</f>
        <v/>
      </c>
      <c r="H147" s="27">
        <f>SUM($G$2:G147)</f>
        <v/>
      </c>
    </row>
    <row r="148">
      <c r="A148" s="17">
        <f>'Daily_Cash_Waterfall'!A148</f>
        <v/>
      </c>
      <c r="B148" s="25">
        <f>'Daily_Cash_Waterfall'!O148</f>
        <v/>
      </c>
      <c r="C148" s="25">
        <f>ROUND(AVERAGE('Daily_Cash_Waterfall'!$D$2:D148)*30*Assumptions!$C$22, 2)</f>
        <v/>
      </c>
      <c r="D148" s="12">
        <f>IF(C148&gt;0, B148/C148, 999.0)</f>
        <v/>
      </c>
      <c r="E148" s="17">
        <f>IF(D148&gt;=Assumptions!$C$23, "COMPLIANT", IF(D148&gt;=Assumptions!$C$24, "WARNING", "BREACH"))</f>
        <v/>
      </c>
      <c r="F148" s="25">
        <f>Data_Feed_Daily!B148</f>
        <v/>
      </c>
      <c r="G148" s="25">
        <f>ROUND(F148*Assumptions!$C$20*Assumptions!$C$21, 2)</f>
        <v/>
      </c>
      <c r="H148" s="25">
        <f>SUM($G$2:G148)</f>
        <v/>
      </c>
    </row>
    <row r="149">
      <c r="A149" s="19">
        <f>'Daily_Cash_Waterfall'!A149</f>
        <v/>
      </c>
      <c r="B149" s="27">
        <f>'Daily_Cash_Waterfall'!O149</f>
        <v/>
      </c>
      <c r="C149" s="27">
        <f>ROUND(AVERAGE('Daily_Cash_Waterfall'!$D$2:D149)*30*Assumptions!$C$22, 2)</f>
        <v/>
      </c>
      <c r="D149" s="30">
        <f>IF(C149&gt;0, B149/C149, 999.0)</f>
        <v/>
      </c>
      <c r="E149" s="19">
        <f>IF(D149&gt;=Assumptions!$C$23, "COMPLIANT", IF(D149&gt;=Assumptions!$C$24, "WARNING", "BREACH"))</f>
        <v/>
      </c>
      <c r="F149" s="27">
        <f>Data_Feed_Daily!B149</f>
        <v/>
      </c>
      <c r="G149" s="27">
        <f>ROUND(F149*Assumptions!$C$20*Assumptions!$C$21, 2)</f>
        <v/>
      </c>
      <c r="H149" s="27">
        <f>SUM($G$2:G149)</f>
        <v/>
      </c>
    </row>
    <row r="150">
      <c r="A150" s="17">
        <f>'Daily_Cash_Waterfall'!A150</f>
        <v/>
      </c>
      <c r="B150" s="25">
        <f>'Daily_Cash_Waterfall'!O150</f>
        <v/>
      </c>
      <c r="C150" s="25">
        <f>ROUND(AVERAGE('Daily_Cash_Waterfall'!$D$2:D150)*30*Assumptions!$C$22, 2)</f>
        <v/>
      </c>
      <c r="D150" s="12">
        <f>IF(C150&gt;0, B150/C150, 999.0)</f>
        <v/>
      </c>
      <c r="E150" s="17">
        <f>IF(D150&gt;=Assumptions!$C$23, "COMPLIANT", IF(D150&gt;=Assumptions!$C$24, "WARNING", "BREACH"))</f>
        <v/>
      </c>
      <c r="F150" s="25">
        <f>Data_Feed_Daily!B150</f>
        <v/>
      </c>
      <c r="G150" s="25">
        <f>ROUND(F150*Assumptions!$C$20*Assumptions!$C$21, 2)</f>
        <v/>
      </c>
      <c r="H150" s="25">
        <f>SUM($G$2:G150)</f>
        <v/>
      </c>
    </row>
    <row r="151">
      <c r="A151" s="19">
        <f>'Daily_Cash_Waterfall'!A151</f>
        <v/>
      </c>
      <c r="B151" s="27">
        <f>'Daily_Cash_Waterfall'!O151</f>
        <v/>
      </c>
      <c r="C151" s="27">
        <f>ROUND(AVERAGE('Daily_Cash_Waterfall'!$D$2:D151)*30*Assumptions!$C$22, 2)</f>
        <v/>
      </c>
      <c r="D151" s="30">
        <f>IF(C151&gt;0, B151/C151, 999.0)</f>
        <v/>
      </c>
      <c r="E151" s="19">
        <f>IF(D151&gt;=Assumptions!$C$23, "COMPLIANT", IF(D151&gt;=Assumptions!$C$24, "WARNING", "BREACH"))</f>
        <v/>
      </c>
      <c r="F151" s="27">
        <f>Data_Feed_Daily!B151</f>
        <v/>
      </c>
      <c r="G151" s="27">
        <f>ROUND(F151*Assumptions!$C$20*Assumptions!$C$21, 2)</f>
        <v/>
      </c>
      <c r="H151" s="27">
        <f>SUM($G$2:G151)</f>
        <v/>
      </c>
    </row>
    <row r="152">
      <c r="A152" s="23" t="inlineStr">
        <is>
          <t>AVERAGE / PERIOD TOTAL</t>
        </is>
      </c>
      <c r="B152" s="24">
        <f>AVERAGE(B2:B151)</f>
        <v/>
      </c>
      <c r="C152" s="24">
        <f>AVERAGE(C2:C151)</f>
        <v/>
      </c>
      <c r="D152" s="31">
        <f>AVERAGE(D2:D151)</f>
        <v/>
      </c>
      <c r="E152" s="32">
        <f>IF(D152&gt;=Assumptions!$C$23, "COMPLIANT", "BREACH")</f>
        <v/>
      </c>
      <c r="F152" s="24">
        <f>SUM(F2:F151)</f>
        <v/>
      </c>
      <c r="G152" s="24">
        <f>SUM(G2:G151)</f>
        <v/>
      </c>
      <c r="H152" s="24">
        <f>H151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7" customWidth="1" min="10" max="10"/>
    <col width="75" customWidth="1" min="11" max="11"/>
  </cols>
  <sheetData>
    <row r="1" ht="25" customHeight="1">
      <c r="A1" s="11" t="inlineStr">
        <is>
          <t>ISO Week</t>
        </is>
      </c>
      <c r="B1" s="11" t="inlineStr">
        <is>
          <t>Actual Net Cash Flow</t>
        </is>
      </c>
      <c r="C1" s="11" t="inlineStr">
        <is>
          <t>Budget Net Cash Flow</t>
        </is>
      </c>
      <c r="D1" s="11" t="inlineStr">
        <is>
          <t>Net Variance Delta</t>
        </is>
      </c>
      <c r="E1" s="11" t="inlineStr">
        <is>
          <t>Volume Outperformance</t>
        </is>
      </c>
      <c r="F1" s="11" t="inlineStr">
        <is>
          <t>Card Mix Substitution</t>
        </is>
      </c>
      <c r="G1" s="11" t="inlineStr">
        <is>
          <t>Clearing Timing Friction</t>
        </is>
      </c>
      <c r="H1" s="11" t="inlineStr">
        <is>
          <t>CECL Provision Drag</t>
        </is>
      </c>
      <c r="I1" s="11" t="inlineStr">
        <is>
          <t>Residual Epsilon</t>
        </is>
      </c>
      <c r="J1" s="11" t="inlineStr">
        <is>
          <t>Bridge Total Sum</t>
        </is>
      </c>
      <c r="K1" s="11" t="inlineStr">
        <is>
          <t>Additive Reconciliation Identity Check</t>
        </is>
      </c>
    </row>
    <row r="2">
      <c r="A2" s="17" t="inlineStr">
        <is>
          <t>2026-W01</t>
        </is>
      </c>
      <c r="B2" s="25" t="n">
        <v>-586894297.83</v>
      </c>
      <c r="C2" s="25" t="n">
        <v>21468000</v>
      </c>
      <c r="D2" s="33">
        <f>B2-C2</f>
        <v/>
      </c>
      <c r="E2" s="25" t="n">
        <v>-15604152.4</v>
      </c>
      <c r="F2" s="25" t="n">
        <v>19213.41</v>
      </c>
      <c r="G2" s="25" t="n">
        <v>0</v>
      </c>
      <c r="H2" s="25" t="n">
        <v>-655544.73</v>
      </c>
      <c r="I2" s="25" t="n">
        <v>-592777358.84</v>
      </c>
      <c r="J2" s="33">
        <f>SUM(E2:I2)</f>
        <v/>
      </c>
      <c r="K2" s="34">
        <f>IF(ABS(J2-D2)&lt;1.0, "EXACT MATCH (VERIFIED)", "RECONCILIATION ERROR")</f>
        <v/>
      </c>
    </row>
    <row r="3">
      <c r="A3" s="19" t="inlineStr">
        <is>
          <t>2026-W02</t>
        </is>
      </c>
      <c r="B3" s="27" t="n">
        <v>131412553.86</v>
      </c>
      <c r="C3" s="27" t="n">
        <v>37569000</v>
      </c>
      <c r="D3" s="35">
        <f>B3-C3</f>
        <v/>
      </c>
      <c r="E3" s="27" t="n">
        <v>4517150.09</v>
      </c>
      <c r="F3" s="27" t="n">
        <v>-1117481.57</v>
      </c>
      <c r="G3" s="27" t="n">
        <v>0</v>
      </c>
      <c r="H3" s="27" t="n">
        <v>-4704991.630000001</v>
      </c>
      <c r="I3" s="27" t="n">
        <v>90443885.34</v>
      </c>
      <c r="J3" s="35">
        <f>SUM(E3:I3)</f>
        <v/>
      </c>
      <c r="K3" s="36">
        <f>IF(ABS(J3-D3)&lt;1.0, "EXACT MATCH (VERIFIED)", "RECONCILIATION ERROR")</f>
        <v/>
      </c>
    </row>
    <row r="4">
      <c r="A4" s="17" t="inlineStr">
        <is>
          <t>2026-W03</t>
        </is>
      </c>
      <c r="B4" s="25" t="n">
        <v>262048410.28</v>
      </c>
      <c r="C4" s="25" t="n">
        <v>37569000</v>
      </c>
      <c r="D4" s="33">
        <f>B4-C4</f>
        <v/>
      </c>
      <c r="E4" s="25" t="n">
        <v>5124088.78</v>
      </c>
      <c r="F4" s="25" t="n">
        <v>-56221.49</v>
      </c>
      <c r="G4" s="25" t="n">
        <v>0</v>
      </c>
      <c r="H4" s="25" t="n">
        <v>-4772843.909999999</v>
      </c>
      <c r="I4" s="25" t="n">
        <v>219411542.98</v>
      </c>
      <c r="J4" s="33">
        <f>SUM(E4:I4)</f>
        <v/>
      </c>
      <c r="K4" s="34">
        <f>IF(ABS(J4-D4)&lt;1.0, "EXACT MATCH (VERIFIED)", "RECONCILIATION ERROR")</f>
        <v/>
      </c>
    </row>
    <row r="5">
      <c r="A5" s="19" t="inlineStr">
        <is>
          <t>2026-W04</t>
        </is>
      </c>
      <c r="B5" s="27" t="n">
        <v>268379631.03</v>
      </c>
      <c r="C5" s="27" t="n">
        <v>37569000</v>
      </c>
      <c r="D5" s="35">
        <f>B5-C5</f>
        <v/>
      </c>
      <c r="E5" s="27" t="n">
        <v>4727804.55</v>
      </c>
      <c r="F5" s="27" t="n">
        <v>18997.54</v>
      </c>
      <c r="G5" s="27" t="n">
        <v>0</v>
      </c>
      <c r="H5" s="27" t="n">
        <v>-4728541.59</v>
      </c>
      <c r="I5" s="27" t="n">
        <v>226063828.93</v>
      </c>
      <c r="J5" s="35">
        <f>SUM(E5:I5)</f>
        <v/>
      </c>
      <c r="K5" s="36">
        <f>IF(ABS(J5-D5)&lt;1.0, "EXACT MATCH (VERIFIED)", "RECONCILIATION ERROR")</f>
        <v/>
      </c>
    </row>
    <row r="6">
      <c r="A6" s="17" t="inlineStr">
        <is>
          <t>2026-W05</t>
        </is>
      </c>
      <c r="B6" s="25" t="n">
        <v>259195270.95</v>
      </c>
      <c r="C6" s="25" t="n">
        <v>37569000</v>
      </c>
      <c r="D6" s="33">
        <f>B6-C6</f>
        <v/>
      </c>
      <c r="E6" s="25" t="n">
        <v>5004562.52</v>
      </c>
      <c r="F6" s="25" t="n">
        <v>-76840.39999999999</v>
      </c>
      <c r="G6" s="25" t="n">
        <v>0</v>
      </c>
      <c r="H6" s="25" t="n">
        <v>-4759481.560000002</v>
      </c>
      <c r="I6" s="25" t="n">
        <v>216698548.83</v>
      </c>
      <c r="J6" s="33">
        <f>SUM(E6:I6)</f>
        <v/>
      </c>
      <c r="K6" s="34">
        <f>IF(ABS(J6-D6)&lt;1.0, "EXACT MATCH (VERIFIED)", "RECONCILIATION ERROR")</f>
        <v/>
      </c>
    </row>
    <row r="7">
      <c r="A7" s="19" t="inlineStr">
        <is>
          <t>2026-W06</t>
        </is>
      </c>
      <c r="B7" s="27" t="n">
        <v>264469907.67</v>
      </c>
      <c r="C7" s="27" t="n">
        <v>37569000</v>
      </c>
      <c r="D7" s="35">
        <f>B7-C7</f>
        <v/>
      </c>
      <c r="E7" s="27" t="n">
        <v>5274686.48</v>
      </c>
      <c r="F7" s="27" t="n">
        <v>-44866</v>
      </c>
      <c r="G7" s="27" t="n">
        <v>0</v>
      </c>
      <c r="H7" s="27" t="n">
        <v>-4789679.869999997</v>
      </c>
      <c r="I7" s="27" t="n">
        <v>221671087.19</v>
      </c>
      <c r="J7" s="35">
        <f>SUM(E7:I7)</f>
        <v/>
      </c>
      <c r="K7" s="36">
        <f>IF(ABS(J7-D7)&lt;1.0, "EXACT MATCH (VERIFIED)", "RECONCILIATION ERROR")</f>
        <v/>
      </c>
    </row>
    <row r="8">
      <c r="A8" s="17" t="inlineStr">
        <is>
          <t>2026-W07</t>
        </is>
      </c>
      <c r="B8" s="25" t="n">
        <v>284240300.91</v>
      </c>
      <c r="C8" s="25" t="n">
        <v>37569000</v>
      </c>
      <c r="D8" s="33">
        <f>B8-C8</f>
        <v/>
      </c>
      <c r="E8" s="25" t="n">
        <v>4783200.06</v>
      </c>
      <c r="F8" s="25" t="n">
        <v>164107.67</v>
      </c>
      <c r="G8" s="25" t="n">
        <v>0</v>
      </c>
      <c r="H8" s="25" t="n">
        <v>-4734734.5</v>
      </c>
      <c r="I8" s="25" t="n">
        <v>241723993.17</v>
      </c>
      <c r="J8" s="33">
        <f>SUM(E8:I8)</f>
        <v/>
      </c>
      <c r="K8" s="34">
        <f>IF(ABS(J8-D8)&lt;1.0, "EXACT MATCH (VERIFIED)", "RECONCILIATION ERROR")</f>
        <v/>
      </c>
    </row>
    <row r="9">
      <c r="A9" s="19" t="inlineStr">
        <is>
          <t>2026-W08</t>
        </is>
      </c>
      <c r="B9" s="27" t="n">
        <v>259776334.71</v>
      </c>
      <c r="C9" s="27" t="n">
        <v>37569000</v>
      </c>
      <c r="D9" s="35">
        <f>B9-C9</f>
        <v/>
      </c>
      <c r="E9" s="27" t="n">
        <v>5210224.4</v>
      </c>
      <c r="F9" s="27" t="n">
        <v>-84215.99000000001</v>
      </c>
      <c r="G9" s="27" t="n">
        <v>0</v>
      </c>
      <c r="H9" s="27" t="n">
        <v>-4782473.390000001</v>
      </c>
      <c r="I9" s="27" t="n">
        <v>217081326.3</v>
      </c>
      <c r="J9" s="35">
        <f>SUM(E9:I9)</f>
        <v/>
      </c>
      <c r="K9" s="36">
        <f>IF(ABS(J9-D9)&lt;1.0, "EXACT MATCH (VERIFIED)", "RECONCILIATION ERROR")</f>
        <v/>
      </c>
    </row>
    <row r="10">
      <c r="A10" s="17" t="inlineStr">
        <is>
          <t>2026-W09</t>
        </is>
      </c>
      <c r="B10" s="25" t="n">
        <v>264798965.3</v>
      </c>
      <c r="C10" s="25" t="n">
        <v>37569000</v>
      </c>
      <c r="D10" s="33">
        <f>B10-C10</f>
        <v/>
      </c>
      <c r="E10" s="25" t="n">
        <v>4546105.54</v>
      </c>
      <c r="F10" s="25" t="n">
        <v>-3808.37</v>
      </c>
      <c r="G10" s="25" t="n">
        <v>0</v>
      </c>
      <c r="H10" s="25" t="n">
        <v>-4708228.670000002</v>
      </c>
      <c r="I10" s="25" t="n">
        <v>222687668.13</v>
      </c>
      <c r="J10" s="33">
        <f>SUM(E10:I10)</f>
        <v/>
      </c>
      <c r="K10" s="34">
        <f>IF(ABS(J10-D10)&lt;1.0, "EXACT MATCH (VERIFIED)", "RECONCILIATION ERROR")</f>
        <v/>
      </c>
    </row>
    <row r="11">
      <c r="A11" s="19" t="inlineStr">
        <is>
          <t>2026-W10</t>
        </is>
      </c>
      <c r="B11" s="27" t="n">
        <v>259847292.93</v>
      </c>
      <c r="C11" s="27" t="n">
        <v>37569000</v>
      </c>
      <c r="D11" s="35">
        <f>B11-C11</f>
        <v/>
      </c>
      <c r="E11" s="27" t="n">
        <v>4859458.02</v>
      </c>
      <c r="F11" s="27" t="n">
        <v>-61723.03</v>
      </c>
      <c r="G11" s="27" t="n">
        <v>0</v>
      </c>
      <c r="H11" s="27" t="n">
        <v>-4743259.699999996</v>
      </c>
      <c r="I11" s="27" t="n">
        <v>217480557.94</v>
      </c>
      <c r="J11" s="35">
        <f>SUM(E11:I11)</f>
        <v/>
      </c>
      <c r="K11" s="36">
        <f>IF(ABS(J11-D11)&lt;1.0, "EXACT MATCH (VERIFIED)", "RECONCILIATION ERROR")</f>
        <v/>
      </c>
    </row>
    <row r="12">
      <c r="A12" s="17" t="inlineStr">
        <is>
          <t>2026-W11</t>
        </is>
      </c>
      <c r="B12" s="25" t="n">
        <v>303240729.14</v>
      </c>
      <c r="C12" s="25" t="n">
        <v>37569000</v>
      </c>
      <c r="D12" s="33">
        <f>B12-C12</f>
        <v/>
      </c>
      <c r="E12" s="25" t="n">
        <v>4870968.5</v>
      </c>
      <c r="F12" s="25" t="n">
        <v>331209.47</v>
      </c>
      <c r="G12" s="25" t="n">
        <v>0</v>
      </c>
      <c r="H12" s="25" t="n">
        <v>-4744546.510000005</v>
      </c>
      <c r="I12" s="25" t="n">
        <v>260469551.17</v>
      </c>
      <c r="J12" s="33">
        <f>SUM(E12:I12)</f>
        <v/>
      </c>
      <c r="K12" s="34">
        <f>IF(ABS(J12-D12)&lt;1.0, "EXACT MATCH (VERIFIED)", "RECONCILIATION ERROR")</f>
        <v/>
      </c>
    </row>
    <row r="13">
      <c r="A13" s="19" t="inlineStr">
        <is>
          <t>2026-W12</t>
        </is>
      </c>
      <c r="B13" s="27" t="n">
        <v>236884994.28</v>
      </c>
      <c r="C13" s="27" t="n">
        <v>37569000</v>
      </c>
      <c r="D13" s="35">
        <f>B13-C13</f>
        <v/>
      </c>
      <c r="E13" s="27" t="n">
        <v>4641282.42</v>
      </c>
      <c r="F13" s="27" t="n">
        <v>-261506.78</v>
      </c>
      <c r="G13" s="27" t="n">
        <v>0</v>
      </c>
      <c r="H13" s="27" t="n">
        <v>-4718868.909999996</v>
      </c>
      <c r="I13" s="27" t="n">
        <v>194936218.64</v>
      </c>
      <c r="J13" s="35">
        <f>SUM(E13:I13)</f>
        <v/>
      </c>
      <c r="K13" s="36">
        <f>IF(ABS(J13-D13)&lt;1.0, "EXACT MATCH (VERIFIED)", "RECONCILIATION ERROR")</f>
        <v/>
      </c>
    </row>
    <row r="14">
      <c r="A14" s="17" t="inlineStr">
        <is>
          <t>2026-W13</t>
        </is>
      </c>
      <c r="B14" s="25" t="n">
        <v>281549625.39</v>
      </c>
      <c r="C14" s="25" t="n">
        <v>37569000</v>
      </c>
      <c r="D14" s="33">
        <f>B14-C14</f>
        <v/>
      </c>
      <c r="E14" s="25" t="n">
        <v>4636083.22</v>
      </c>
      <c r="F14" s="25" t="n">
        <v>148045.96</v>
      </c>
      <c r="G14" s="25" t="n">
        <v>0</v>
      </c>
      <c r="H14" s="25" t="n">
        <v>-4718287.670000002</v>
      </c>
      <c r="I14" s="25" t="n">
        <v>239196496.22</v>
      </c>
      <c r="J14" s="33">
        <f>SUM(E14:I14)</f>
        <v/>
      </c>
      <c r="K14" s="34">
        <f>IF(ABS(J14-D14)&lt;1.0, "EXACT MATCH (VERIFIED)", "RECONCILIATION ERROR")</f>
        <v/>
      </c>
    </row>
    <row r="15">
      <c r="A15" s="19" t="inlineStr">
        <is>
          <t>2026-W14</t>
        </is>
      </c>
      <c r="B15" s="27" t="n">
        <v>257770035.31</v>
      </c>
      <c r="C15" s="27" t="n">
        <v>37569000</v>
      </c>
      <c r="D15" s="35">
        <f>B15-C15</f>
        <v/>
      </c>
      <c r="E15" s="27" t="n">
        <v>4954764.85</v>
      </c>
      <c r="F15" s="27" t="n">
        <v>-85560.94</v>
      </c>
      <c r="G15" s="27" t="n">
        <v>0</v>
      </c>
      <c r="H15" s="27" t="n">
        <v>-4753914.460000001</v>
      </c>
      <c r="I15" s="27" t="n">
        <v>215331831.4</v>
      </c>
      <c r="J15" s="35">
        <f>SUM(E15:I15)</f>
        <v/>
      </c>
      <c r="K15" s="36">
        <f>IF(ABS(J15-D15)&lt;1.0, "EXACT MATCH (VERIFIED)", "RECONCILIATION ERROR")</f>
        <v/>
      </c>
    </row>
    <row r="16">
      <c r="A16" s="17" t="inlineStr">
        <is>
          <t>2026-W15</t>
        </is>
      </c>
      <c r="B16" s="25" t="n">
        <v>264564687.82</v>
      </c>
      <c r="C16" s="25" t="n">
        <v>37569000</v>
      </c>
      <c r="D16" s="33">
        <f>B16-C16</f>
        <v/>
      </c>
      <c r="E16" s="25" t="n">
        <v>3769280.73</v>
      </c>
      <c r="F16" s="25" t="n">
        <v>36896.83</v>
      </c>
      <c r="G16" s="25" t="n">
        <v>0</v>
      </c>
      <c r="H16" s="25" t="n">
        <v>-4621384.109999999</v>
      </c>
      <c r="I16" s="25" t="n">
        <v>223189510.26</v>
      </c>
      <c r="J16" s="33">
        <f>SUM(E16:I16)</f>
        <v/>
      </c>
      <c r="K16" s="34">
        <f>IF(ABS(J16-D16)&lt;1.0, "EXACT MATCH (VERIFIED)", "RECONCILIATION ERROR")</f>
        <v/>
      </c>
    </row>
    <row r="17">
      <c r="A17" s="19" t="inlineStr">
        <is>
          <t>2026-W16</t>
        </is>
      </c>
      <c r="B17" s="27" t="n">
        <v>272974785.51</v>
      </c>
      <c r="C17" s="27" t="n">
        <v>37569000</v>
      </c>
      <c r="D17" s="35">
        <f>B17-C17</f>
        <v/>
      </c>
      <c r="E17" s="27" t="n">
        <v>4740922.44</v>
      </c>
      <c r="F17" s="27" t="n">
        <v>63519.79</v>
      </c>
      <c r="G17" s="27" t="n">
        <v>0</v>
      </c>
      <c r="H17" s="27" t="n">
        <v>-4730008.100000001</v>
      </c>
      <c r="I17" s="27" t="n">
        <v>230601343.28</v>
      </c>
      <c r="J17" s="35">
        <f>SUM(E17:I17)</f>
        <v/>
      </c>
      <c r="K17" s="36">
        <f>IF(ABS(J17-D17)&lt;1.0, "EXACT MATCH (VERIFIED)", "RECONCILIATION ERROR")</f>
        <v/>
      </c>
    </row>
    <row r="18">
      <c r="A18" s="17" t="inlineStr">
        <is>
          <t>2026-W17</t>
        </is>
      </c>
      <c r="B18" s="25" t="n">
        <v>267777087.6</v>
      </c>
      <c r="C18" s="25" t="n">
        <v>37569000</v>
      </c>
      <c r="D18" s="33">
        <f>B18-C18</f>
        <v/>
      </c>
      <c r="E18" s="25" t="n">
        <v>4457069.12</v>
      </c>
      <c r="F18" s="25" t="n">
        <v>35429.07</v>
      </c>
      <c r="G18" s="25" t="n">
        <v>0</v>
      </c>
      <c r="H18" s="25" t="n">
        <v>-4698274.909999996</v>
      </c>
      <c r="I18" s="25" t="n">
        <v>225715589.42</v>
      </c>
      <c r="J18" s="33">
        <f>SUM(E18:I18)</f>
        <v/>
      </c>
      <c r="K18" s="34">
        <f>IF(ABS(J18-D18)&lt;1.0, "EXACT MATCH (VERIFIED)", "RECONCILIATION ERROR")</f>
        <v/>
      </c>
    </row>
    <row r="19">
      <c r="A19" s="19" t="inlineStr">
        <is>
          <t>2026-W18</t>
        </is>
      </c>
      <c r="B19" s="27" t="n">
        <v>253221657.89</v>
      </c>
      <c r="C19" s="27" t="n">
        <v>37569000</v>
      </c>
      <c r="D19" s="35">
        <f>B19-C19</f>
        <v/>
      </c>
      <c r="E19" s="27" t="n">
        <v>4702675.26</v>
      </c>
      <c r="F19" s="27" t="n">
        <v>-111065.46</v>
      </c>
      <c r="G19" s="27" t="n">
        <v>0</v>
      </c>
      <c r="H19" s="27" t="n">
        <v>-4725732.280000001</v>
      </c>
      <c r="I19" s="27" t="n">
        <v>211061048.09</v>
      </c>
      <c r="J19" s="35">
        <f>SUM(E19:I19)</f>
        <v/>
      </c>
      <c r="K19" s="36">
        <f>IF(ABS(J19-D19)&lt;1.0, "EXACT MATCH (VERIFIED)", "RECONCILIATION ERROR")</f>
        <v/>
      </c>
    </row>
    <row r="20">
      <c r="A20" s="17" t="inlineStr">
        <is>
          <t>2026-W19</t>
        </is>
      </c>
      <c r="B20" s="25" t="n">
        <v>256195106.1</v>
      </c>
      <c r="C20" s="25" t="n">
        <v>37569000</v>
      </c>
      <c r="D20" s="33">
        <f>B20-C20</f>
        <v/>
      </c>
      <c r="E20" s="25" t="n">
        <v>5243099.39</v>
      </c>
      <c r="F20" s="25" t="n">
        <v>-123301.39</v>
      </c>
      <c r="G20" s="25" t="n">
        <v>0</v>
      </c>
      <c r="H20" s="25" t="n">
        <v>-4786148.620000005</v>
      </c>
      <c r="I20" s="25" t="n">
        <v>213506308.1</v>
      </c>
      <c r="J20" s="33">
        <f>SUM(E20:I20)</f>
        <v/>
      </c>
      <c r="K20" s="34">
        <f>IF(ABS(J20-D20)&lt;1.0, "EXACT MATCH (VERIFIED)", "RECONCILIATION ERROR")</f>
        <v/>
      </c>
    </row>
    <row r="21">
      <c r="A21" s="19" t="inlineStr">
        <is>
          <t>2026-W20</t>
        </is>
      </c>
      <c r="B21" s="27" t="n">
        <v>282117922.78</v>
      </c>
      <c r="C21" s="27" t="n">
        <v>37569000</v>
      </c>
      <c r="D21" s="35">
        <f>B21-C21</f>
        <v/>
      </c>
      <c r="E21" s="27" t="n">
        <v>4106469.52</v>
      </c>
      <c r="F21" s="27" t="n">
        <v>184422.41</v>
      </c>
      <c r="G21" s="27" t="n">
        <v>0</v>
      </c>
      <c r="H21" s="27" t="n">
        <v>-4659079.86999999</v>
      </c>
      <c r="I21" s="27" t="n">
        <v>240258030.85</v>
      </c>
      <c r="J21" s="35">
        <f>SUM(E21:I21)</f>
        <v/>
      </c>
      <c r="K21" s="36">
        <f>IF(ABS(J21-D21)&lt;1.0, "EXACT MATCH (VERIFIED)", "RECONCILIATION ERROR")</f>
        <v/>
      </c>
    </row>
    <row r="22">
      <c r="A22" s="17" t="inlineStr">
        <is>
          <t>2026-W21</t>
        </is>
      </c>
      <c r="B22" s="25" t="n">
        <v>250155236.5</v>
      </c>
      <c r="C22" s="25" t="n">
        <v>37569000</v>
      </c>
      <c r="D22" s="33">
        <f>B22-C22</f>
        <v/>
      </c>
      <c r="E22" s="25" t="n">
        <v>5367225.72</v>
      </c>
      <c r="F22" s="25" t="n">
        <v>-174619.13</v>
      </c>
      <c r="G22" s="25" t="n">
        <v>0</v>
      </c>
      <c r="H22" s="25" t="n">
        <v>-4800025.230000004</v>
      </c>
      <c r="I22" s="25" t="n">
        <v>207393629.92</v>
      </c>
      <c r="J22" s="33">
        <f>SUM(E22:I22)</f>
        <v/>
      </c>
      <c r="K22" s="34">
        <f>IF(ABS(J22-D22)&lt;1.0, "EXACT MATCH (VERIFIED)", "RECONCILIATION ERROR")</f>
        <v/>
      </c>
    </row>
    <row r="23">
      <c r="A23" s="19" t="inlineStr">
        <is>
          <t>2026-W22</t>
        </is>
      </c>
      <c r="B23" s="27" t="n">
        <v>266625283.96</v>
      </c>
      <c r="C23" s="27" t="n">
        <v>32202000</v>
      </c>
      <c r="D23" s="35">
        <f>B23-C23</f>
        <v/>
      </c>
      <c r="E23" s="27" t="n">
        <v>9454169.699999999</v>
      </c>
      <c r="F23" s="27" t="n">
        <v>33002.11</v>
      </c>
      <c r="G23" s="27" t="n">
        <v>0</v>
      </c>
      <c r="H23" s="27" t="n">
        <v>-4656922.269999996</v>
      </c>
      <c r="I23" s="27" t="n">
        <v>224936112.15</v>
      </c>
      <c r="J23" s="35">
        <f>SUM(E23:I23)</f>
        <v/>
      </c>
      <c r="K23" s="36">
        <f>IF(ABS(J23-D23)&lt;1.0, "EXACT MATCH (VERIFIED)", "RECONCILIATION ERROR")</f>
        <v/>
      </c>
    </row>
    <row r="24">
      <c r="A24" s="23" t="inlineStr">
        <is>
          <t>CUMULATIVE 13W TOTAL</t>
        </is>
      </c>
      <c r="B24" s="24">
        <f>SUM(B2:B23)</f>
        <v/>
      </c>
      <c r="C24" s="24">
        <f>SUM(C2:C23)</f>
        <v/>
      </c>
      <c r="D24" s="24">
        <f>SUM(D2:D23)</f>
        <v/>
      </c>
      <c r="E24" s="24">
        <f>SUM(E2:E23)</f>
        <v/>
      </c>
      <c r="F24" s="24">
        <f>SUM(F2:F23)</f>
        <v/>
      </c>
      <c r="G24" s="24">
        <f>SUM(G2:G23)</f>
        <v/>
      </c>
      <c r="H24" s="24">
        <f>SUM(H2:H23)</f>
        <v/>
      </c>
      <c r="I24" s="24">
        <f>SUM(I2:I23)</f>
        <v/>
      </c>
      <c r="J24" s="24">
        <f>SUM(J2:J23)</f>
        <v/>
      </c>
      <c r="K24" s="32">
        <f>IF(ABS(J24-D24)&lt;1.0, "EXACT MATCH (VERIFIED)", "RECONCILIATION 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2026-09-29T11:10:54Z</dcterms:created>
  <dcterms:modified xmlns:dcterms="http://purl.org/dc/terms/" xmlns:xsi="http://www.w3.org/2001/XMLSchema-instance" xsi:type="dcterms:W3CDTF">2026-09-29T11:10:54Z</dcterms:modified>
</cp:coreProperties>
</file>